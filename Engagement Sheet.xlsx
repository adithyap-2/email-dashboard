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mc:AlternateContent xmlns:mc="http://schemas.openxmlformats.org/markup-compatibility/2006">
    <mc:Choice Requires="x15">
      <x15ac:absPath xmlns:x15ac="http://schemas.microsoft.com/office/spreadsheetml/2010/11/ac" url="https://cridindia.sharepoint.com/sites/CRIDIndia/Shared Documents/Outreach - Engagement Trackers/"/>
    </mc:Choice>
  </mc:AlternateContent>
  <xr:revisionPtr revIDLastSave="0" documentId="8_{251095CA-F6DB-42CC-809D-B1B0A44A2E01}" xr6:coauthVersionLast="47" xr6:coauthVersionMax="47" xr10:uidLastSave="{00000000-0000-0000-0000-000000000000}"/>
  <bookViews>
    <workbookView xWindow="-110" yWindow="-110" windowWidth="19420" windowHeight="10300" xr2:uid="{00000000-000D-0000-FFFF-FFFF00000000}"/>
  </bookViews>
  <sheets>
    <sheet name="Updated Engagement Sheet" sheetId="3" r:id="rId1"/>
    <sheet name="Colour code" sheetId="2" r:id="rId2"/>
    <sheet name="Main Engagement Sheet" sheetId="1" r:id="rId3"/>
    <sheet name="Temp sheet-delete" sheetId="4" r:id="rId4"/>
  </sheets>
  <definedNames>
    <definedName name="_xlnm._FilterDatabase" localSheetId="2" hidden="1">'Main Engagement Sheet'!$A$1:$T$12</definedName>
    <definedName name="_xlnm._FilterDatabase" localSheetId="0" hidden="1">'Updated Engagement Sheet'!$B$1:$Q$140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73" i="1" l="1"/>
  <c r="J78" i="3"/>
  <c r="J61" i="1"/>
  <c r="J66" i="3"/>
  <c r="J88" i="1"/>
  <c r="J94" i="3"/>
  <c r="J40" i="1"/>
  <c r="J39" i="3"/>
  <c r="J34" i="1"/>
  <c r="J31" i="3"/>
  <c r="J37" i="1"/>
  <c r="J36" i="3"/>
  <c r="J6" i="1"/>
  <c r="J6" i="3"/>
  <c r="J33" i="1"/>
  <c r="J30" i="3"/>
  <c r="J50" i="3"/>
  <c r="J26" i="3"/>
  <c r="J85" i="3"/>
  <c r="J18" i="3"/>
  <c r="J80" i="3"/>
  <c r="J75" i="3"/>
  <c r="J65" i="3"/>
  <c r="J62" i="3"/>
  <c r="J12" i="3"/>
  <c r="J9" i="3"/>
  <c r="J45" i="3"/>
  <c r="J93" i="3"/>
  <c r="J103" i="3"/>
  <c r="J44" i="3"/>
  <c r="J8" i="3"/>
  <c r="J92" i="3"/>
  <c r="J91" i="3"/>
  <c r="J89" i="3"/>
  <c r="J88" i="3"/>
  <c r="J64" i="3"/>
  <c r="J60" i="3"/>
  <c r="J42" i="3"/>
  <c r="J7" i="3"/>
  <c r="I12" i="1"/>
  <c r="I2" i="1"/>
  <c r="I3" i="1"/>
  <c r="I4" i="1"/>
  <c r="I8" i="1"/>
  <c r="I9" i="1"/>
  <c r="I10" i="1"/>
  <c r="I11" i="1"/>
  <c r="I5" i="1"/>
</calcChain>
</file>

<file path=xl/sharedStrings.xml><?xml version="1.0" encoding="utf-8"?>
<sst xmlns="http://schemas.openxmlformats.org/spreadsheetml/2006/main" count="1087" uniqueCount="648">
  <si>
    <t>Organisation</t>
  </si>
  <si>
    <t>Name</t>
  </si>
  <si>
    <t>Topic of Concern</t>
  </si>
  <si>
    <t>Last Day of Contact</t>
  </si>
  <si>
    <t>Last conversation</t>
  </si>
  <si>
    <t>Overall Summary of Discussion</t>
  </si>
  <si>
    <t>Special notes</t>
  </si>
  <si>
    <t>Number of individual meetings</t>
  </si>
  <si>
    <t>Number of organisational meeting</t>
  </si>
  <si>
    <t>Next steps</t>
  </si>
  <si>
    <t>Next Followup date and message hook</t>
  </si>
  <si>
    <t>Which CRID email to followup on</t>
  </si>
  <si>
    <t>Where was the last discussion and who did it?</t>
  </si>
  <si>
    <t>Proposal of concern</t>
  </si>
  <si>
    <t>Email</t>
  </si>
  <si>
    <t>Linkedin</t>
  </si>
  <si>
    <t>SELCO Foundation</t>
  </si>
  <si>
    <t>Jayaswini Pal</t>
  </si>
  <si>
    <t>PoC SELCO project</t>
  </si>
  <si>
    <t xml:space="preserve">She serves as the primary point of contact for the SELCO project and has consistently acted as an internal champion for our proposals.
She plays a key role in moving discussions forward and strengthening the business case for collaboration.
The pre-treatment unit has already been successfully installed in Kargil.
We need to send her the project photos today.
Once this is completed with Jayaswini, we will complete the follow-up process and expect the payment this week.
</t>
  </si>
  <si>
    <t>Senthil</t>
  </si>
  <si>
    <t>AIDA</t>
  </si>
  <si>
    <t>Bharati Balaji</t>
  </si>
  <si>
    <t>Food vs Fuel Assignment</t>
  </si>
  <si>
    <t xml:space="preserve">Deliver the inception note first.
Once the inception note is approved, begin preparing the first draft of the assignment.
The first draft should be delivered by 10th July
</t>
  </si>
  <si>
    <t>Exec summary and tOC submitted on 17th July</t>
  </si>
  <si>
    <t>Tripti</t>
  </si>
  <si>
    <t>By end of July, submit full report</t>
  </si>
  <si>
    <t>Giving Green</t>
  </si>
  <si>
    <t>Rama Tentu</t>
  </si>
  <si>
    <t>Industrial decarbonisation</t>
  </si>
  <si>
    <t>20th July</t>
  </si>
  <si>
    <t>Sent our budget on IHP</t>
  </si>
  <si>
    <t xml:space="preserve">They are interested in industrial decarbonisation. They can fund us as they are funding CEEP but through a non-profit route only. We sent them CRID V3 on 30th june. We will send them a modified version of Heinrich where we show that VFDs like tech have potential. We send them more proposals from our side. They will most likely invite us in August to submit a proposal for a larger funding. They are also open to core funding but  non profit route only. On a second thread, we are trying to connect to Simran Grover of CEEP, pvt org, for profit but think tank like activities. we learn how to structrure so that CRID can do the same. --potential competitors.  </t>
  </si>
  <si>
    <t>Budget</t>
  </si>
  <si>
    <t>27th July</t>
  </si>
  <si>
    <t>PG</t>
  </si>
  <si>
    <t>rama.tentu@givinggreen.earth</t>
  </si>
  <si>
    <t>ISHRAE</t>
  </si>
  <si>
    <t>C.B. Sinha, GM</t>
  </si>
  <si>
    <t>MoU with ISHRAE</t>
  </si>
  <si>
    <t>15th july</t>
  </si>
  <si>
    <t>MoU outline emailed</t>
  </si>
  <si>
    <t>None</t>
  </si>
  <si>
    <t>Follwoup on MoU email</t>
  </si>
  <si>
    <t>29th July</t>
  </si>
  <si>
    <t>CRID-ISHRAE MoU</t>
  </si>
  <si>
    <t>gm@ishraehq.in</t>
  </si>
  <si>
    <t>CIFF</t>
  </si>
  <si>
    <t>Monali Zeya</t>
  </si>
  <si>
    <t>Industrial Heat Pumps</t>
  </si>
  <si>
    <t>15th July</t>
  </si>
  <si>
    <t xml:space="preserve">Concept note shared </t>
  </si>
  <si>
    <t>none</t>
  </si>
  <si>
    <t>Followup</t>
  </si>
  <si>
    <t>22nd July</t>
  </si>
  <si>
    <t>Detailed concept note on Industrial Heat Pumps</t>
  </si>
  <si>
    <t>mzeya@ciff.org</t>
  </si>
  <si>
    <t>UNIDO</t>
  </si>
  <si>
    <t>Rituraj Borah</t>
  </si>
  <si>
    <t>16th July</t>
  </si>
  <si>
    <t>GEF proposal shared</t>
  </si>
  <si>
    <t>23rd July</t>
  </si>
  <si>
    <t>GEF proposal shared + 2 pager shared</t>
  </si>
  <si>
    <t>r.borah@unido.org</t>
  </si>
  <si>
    <t>Debajit Das, National Project Coordinator,</t>
  </si>
  <si>
    <t>Tea Dehydration</t>
  </si>
  <si>
    <t>29th June</t>
  </si>
  <si>
    <t>Thanks you email , stay in touch</t>
  </si>
  <si>
    <t>Discussion regarding GEF -8 work alongside Tea Dehydration in Assam.</t>
  </si>
  <si>
    <t>Not specified</t>
  </si>
  <si>
    <t>Not specific</t>
  </si>
  <si>
    <t>Tea Dehydration concept note</t>
  </si>
  <si>
    <t>Romara Gillaine</t>
  </si>
  <si>
    <t>AVPN</t>
  </si>
  <si>
    <t>Arindavam (Most Senior)</t>
  </si>
  <si>
    <t>Exploring Partnership with AVPN, Funder for small proposal or partner for large programs we want to build</t>
  </si>
  <si>
    <t>Pushkal (Main PoC)</t>
  </si>
  <si>
    <t>UP and MH heat map</t>
  </si>
  <si>
    <t>UP and MH heat map concept note emailed</t>
  </si>
  <si>
    <t>UP and MH heat map concept note</t>
  </si>
  <si>
    <t>Alice</t>
  </si>
  <si>
    <t>Sairam</t>
  </si>
  <si>
    <t>Saransh</t>
  </si>
  <si>
    <t>Chandrayee Namhata (old contact)</t>
  </si>
  <si>
    <t>CRF</t>
  </si>
  <si>
    <t>Debajit Palit</t>
  </si>
  <si>
    <t>Discussion paper and Roundtable</t>
  </si>
  <si>
    <t>Mandar</t>
  </si>
  <si>
    <t>Mandar has already added his part. We will add our additional parts</t>
  </si>
  <si>
    <t>Dalberg Advisors</t>
  </si>
  <si>
    <t xml:space="preserve">Vismit Bansal </t>
  </si>
  <si>
    <t xml:space="preserve">Heat Pumps </t>
  </si>
  <si>
    <t>Jagjeet sareen</t>
  </si>
  <si>
    <t>Snigdha Serikari</t>
  </si>
  <si>
    <t>Ruxana Patel</t>
  </si>
  <si>
    <t>NEDO</t>
  </si>
  <si>
    <t>Masafumi Senda</t>
  </si>
  <si>
    <t>Lead generation for heat pump vendors in Japan</t>
  </si>
  <si>
    <t>The proposed budget of ₹70 lakh is considered too high. Reduce the proposal to approximately ₹35–40 lakh and resend it. This should not be done immediately.
Send a follow-up email next week regarding the revised proposal. Sankalp is connected with a relevant contact and should follow up through WhatsApp or a phone call rather than email.</t>
  </si>
  <si>
    <t>SP and  PG</t>
  </si>
  <si>
    <t>NEDO proposal</t>
  </si>
  <si>
    <t>Dheeraj San</t>
  </si>
  <si>
    <t>Nangia Nxt</t>
  </si>
  <si>
    <t>Arindham</t>
  </si>
  <si>
    <t>C5 (Heat Pump Installation in C5 Countries)</t>
  </si>
  <si>
    <t>27th May</t>
  </si>
  <si>
    <t>C5 concept note</t>
  </si>
  <si>
    <t>The connection was lost.
Send another email and try to schedule a meeting.
Reconnect with both Arindham and Subharth.</t>
  </si>
  <si>
    <t>C5 proposal</t>
  </si>
  <si>
    <r>
      <rPr>
        <b/>
        <sz val="10"/>
        <color rgb="FF000000"/>
        <rFont val="Times New Roman"/>
      </rPr>
      <t>Manisha Mukherjee</t>
    </r>
    <r>
      <rPr>
        <sz val="10"/>
        <color rgb="FF000000"/>
        <rFont val="Times New Roman"/>
      </rPr>
      <t>, Executive director</t>
    </r>
  </si>
  <si>
    <t>Potentailly Tea Dehydration and develpment sector work.</t>
  </si>
  <si>
    <t>Thank you email</t>
  </si>
  <si>
    <t>Overall, Nivedita is a very good contact. We can co-develop several projects with Nangia in the future. Try to schedule one meeting every month with Manisha and Nivedita to discuss ongoing developments.</t>
  </si>
  <si>
    <t>manisha.mukherjee@nangianxt.com</t>
  </si>
  <si>
    <t>Nivedita</t>
  </si>
  <si>
    <t>Subharth (C5)</t>
  </si>
  <si>
    <t xml:space="preserve">   Heinrich Foundation</t>
  </si>
  <si>
    <t>Jochen</t>
  </si>
  <si>
    <t>Just Transition in Indian industry</t>
  </si>
  <si>
    <t>We have already submitted the proposal.
Follow up towards the end of next week regarding its status.</t>
  </si>
  <si>
    <t>He has sent an email saying that he will get back to us in August</t>
  </si>
  <si>
    <t>HBF proposal</t>
  </si>
  <si>
    <t>ICC</t>
  </si>
  <si>
    <t>Brendon Mendonca</t>
  </si>
  <si>
    <t>Emailed latest IHP 2 pager</t>
  </si>
  <si>
    <t>ICC funding cycle in December 2026</t>
  </si>
  <si>
    <t>2 pager IHP</t>
  </si>
  <si>
    <t>Mendoncabrendon82@gmail.com</t>
  </si>
  <si>
    <t>Pranav Dadich</t>
  </si>
  <si>
    <t>Energy transition</t>
  </si>
  <si>
    <t>Linkedin conversation</t>
  </si>
  <si>
    <t>Part of Brendon's team. Keep warm</t>
  </si>
  <si>
    <t>Newsletter</t>
  </si>
  <si>
    <t>Padma Venkatraman, Senior Associate - Knowledge</t>
  </si>
  <si>
    <t>Spritual guru pathway:: we are supposed to get back to her</t>
  </si>
  <si>
    <t>padma97venkataraman@gmail.com</t>
  </si>
  <si>
    <t>Abhishek Saxena</t>
  </si>
  <si>
    <t>saxena.abhishek7@outlook.com</t>
  </si>
  <si>
    <t>Tata Steel</t>
  </si>
  <si>
    <t>Rajeshwar Chatterjee</t>
  </si>
  <si>
    <t>WHRF</t>
  </si>
  <si>
    <t>30th June</t>
  </si>
  <si>
    <t>WHRF writeup sent</t>
  </si>
  <si>
    <t>WHRF writeup</t>
  </si>
  <si>
    <t>rajeswar.chatterjee@tatasteel.com</t>
  </si>
  <si>
    <t>Bhupinder Singh Bhalla</t>
  </si>
  <si>
    <t>Advisor</t>
  </si>
  <si>
    <t>13th July</t>
  </si>
  <si>
    <t>Phone call to happen between Pardeep and Bhalla ji</t>
  </si>
  <si>
    <t>bhupindersbhalla@yahoo.com</t>
  </si>
  <si>
    <t>CLASP</t>
  </si>
  <si>
    <t>Prasoon, Yatharth, Kishore</t>
  </si>
  <si>
    <t>Heat Pumps</t>
  </si>
  <si>
    <t>sometime in June</t>
  </si>
  <si>
    <t>Continue discussions and follow up on heat pump-related opportunities.</t>
  </si>
  <si>
    <t>We have submitted 2 RFPs but not heard back</t>
  </si>
  <si>
    <t>2 RFPs submitted</t>
  </si>
  <si>
    <t>CII</t>
  </si>
  <si>
    <t>Kiran Ananth</t>
  </si>
  <si>
    <t>Heat Pump Alliance</t>
  </si>
  <si>
    <t>Thank you invitatio, heat pump alliance needle moving</t>
  </si>
  <si>
    <t>kiran.ananth@cii.in</t>
  </si>
  <si>
    <t>CSEP</t>
  </si>
  <si>
    <t>Amrita Agarwal</t>
  </si>
  <si>
    <t>Email bodies</t>
  </si>
  <si>
    <t>Ongoing discussion wherre she will conect us to Harsh-KVB, APAG, XKDR and Anisha-TCF</t>
  </si>
  <si>
    <t>amrita.agarwal165@gmail.com</t>
  </si>
  <si>
    <t>GBA</t>
  </si>
  <si>
    <t>Rahul Jain</t>
  </si>
  <si>
    <t>Ethanol Genset</t>
  </si>
  <si>
    <t>ASAR Foundation</t>
  </si>
  <si>
    <t>Veer Kishore Baban</t>
  </si>
  <si>
    <t>Not decided</t>
  </si>
  <si>
    <t>Introductory call on TEAMS</t>
  </si>
  <si>
    <t>VKB speaks about CRID to his team at ASAR||PG to bring HP manufacturer to this call</t>
  </si>
  <si>
    <t>TERI</t>
  </si>
  <si>
    <t>Nagendra Kumar, Associate Director &amp; Fellow, TERI</t>
  </si>
  <si>
    <t>Biomass proposal</t>
  </si>
  <si>
    <t>21st July</t>
  </si>
  <si>
    <t>Nagendra acknowledged our thank email</t>
  </si>
  <si>
    <t>CRID to share biomass proposal with him</t>
  </si>
  <si>
    <t>Send proposal when ready</t>
  </si>
  <si>
    <t>30th July</t>
  </si>
  <si>
    <t>nagendra.kumar@teri.res.in</t>
  </si>
  <si>
    <t>Shweta Gautam</t>
  </si>
  <si>
    <t xml:space="preserve">Reminder followup for a meeting </t>
  </si>
  <si>
    <t>shweta.gautam@teri.res.in</t>
  </si>
  <si>
    <t xml:space="preserve">         NITI Aayog</t>
  </si>
  <si>
    <t>Anjali</t>
  </si>
  <si>
    <t>Venu Gopal</t>
  </si>
  <si>
    <t>Afshan Ameer, Clean Energy Policy Research</t>
  </si>
  <si>
    <t>Ronnie</t>
  </si>
  <si>
    <t>GiZ</t>
  </si>
  <si>
    <t>Arun Poojary</t>
  </si>
  <si>
    <t>Arrange a meeting whenever we are in Delhi and get the opportunity</t>
  </si>
  <si>
    <t>arun.poojary@giz.de</t>
  </si>
  <si>
    <t>Kumar Abhishek</t>
  </si>
  <si>
    <t>Nothing specific</t>
  </si>
  <si>
    <t>Last week, Delhi meeting (Date)</t>
  </si>
  <si>
    <t>Nothing specific discussed.</t>
  </si>
  <si>
    <t>We sent at email on 29th June. Could followup with newsletters</t>
  </si>
  <si>
    <t>kumar.abhishek@giz.de</t>
  </si>
  <si>
    <t>Manoj Kumar</t>
  </si>
  <si>
    <t>Put us in the "safe zone."</t>
  </si>
  <si>
    <t xml:space="preserve">Jai Kumar </t>
  </si>
  <si>
    <t xml:space="preserve"> MSW</t>
  </si>
  <si>
    <t xml:space="preserve">General discussion regarding Jai's project.We need to present the MSW PPT to Jai Kumar and Siddhant.
Based on that, Sankalp should conduct a pre-demo visit.
Once completed, we should close the assignment.
</t>
  </si>
  <si>
    <t>Sankalp met. They are under quoting. Wait and Watch.</t>
  </si>
  <si>
    <t>jai.kumar@giz.de</t>
  </si>
  <si>
    <t>Alex Fischer</t>
  </si>
  <si>
    <t>We still need to set up a meeting with the Head of GIZ.</t>
  </si>
  <si>
    <t>alexander.fisher@giz.de</t>
  </si>
  <si>
    <t>Bernhard</t>
  </si>
  <si>
    <t>Leads one of the GIZ teams.
We need to arrange a meeting and walk him through our work.</t>
  </si>
  <si>
    <t>Bernhard.voelcker@giz.de</t>
  </si>
  <si>
    <t>Nitin Jain</t>
  </si>
  <si>
    <t>Send the AI Audit proposal to Nitin Jain and his team.
The proposal should be very clear.
Include the data-gathering exercise.</t>
  </si>
  <si>
    <t>Sandeep Bhattarchya</t>
  </si>
  <si>
    <t>Agritech Head at GIZ.
Not very useful from a work perspective, but a well-wisher.</t>
  </si>
  <si>
    <t>Pallas Das</t>
  </si>
  <si>
    <t>Rachna</t>
  </si>
  <si>
    <t>Swaniti Global</t>
  </si>
  <si>
    <t>Ravi Pandey, Project Manager</t>
  </si>
  <si>
    <t>Dehydrators in UP, JH, OD</t>
  </si>
  <si>
    <t xml:space="preserve">Thank you note on email </t>
  </si>
  <si>
    <t>Ravi Pandey plans to develop multiple programs with us, starting with a proposal for UP, Jharkhand, and Odisha to set up dehydration units. We need to identify what crops are grown in these states and what can be dehydrated.</t>
  </si>
  <si>
    <t>Send him proposal</t>
  </si>
  <si>
    <t>ravipandey.gurukul@gmail.com</t>
  </si>
  <si>
    <t>Vipin</t>
  </si>
  <si>
    <t>vipin.r@swaniti.org</t>
  </si>
  <si>
    <t>Swissnex</t>
  </si>
  <si>
    <t>Deepika Prithviraj</t>
  </si>
  <si>
    <t>not decided</t>
  </si>
  <si>
    <t xml:space="preserve">meeting setup </t>
  </si>
  <si>
    <t>Deepika.Prithviraj@swissnex.org</t>
  </si>
  <si>
    <t>Anand Shukla, Swiss Embassy</t>
  </si>
  <si>
    <t>various</t>
  </si>
  <si>
    <t>Thanks email and ICLEI</t>
  </si>
  <si>
    <t>1. Email to Deepika
With reference (Anand Shukla ji)
2. Email to Anand Ji
3. ICLEI (What is there work and anything in common)</t>
  </si>
  <si>
    <t xml:space="preserve">Research on ICLEI </t>
  </si>
  <si>
    <t>CHT, MoPNG</t>
  </si>
  <si>
    <t>Lav Kumar, Jt. Director</t>
  </si>
  <si>
    <t>CBG project</t>
  </si>
  <si>
    <t>Thank you note on email and further stpes</t>
  </si>
  <si>
    <t xml:space="preserve"> potential CBG projct to come from here</t>
  </si>
  <si>
    <t>SP</t>
  </si>
  <si>
    <t>lav.kr@cht.gov.in</t>
  </si>
  <si>
    <t>India Foundation</t>
  </si>
  <si>
    <t>Shasvat Singh</t>
  </si>
  <si>
    <t>Broadly energy security</t>
  </si>
  <si>
    <t>Energy security abstract sent</t>
  </si>
  <si>
    <t>Good connection, we can slowly start working with him</t>
  </si>
  <si>
    <t>shashvat@indiafoundation.in</t>
  </si>
  <si>
    <t>BEE</t>
  </si>
  <si>
    <t>DG</t>
  </si>
  <si>
    <t xml:space="preserve">None
</t>
  </si>
  <si>
    <t xml:space="preserve">We need to setup a meting </t>
  </si>
  <si>
    <t>Endorsement for Heat Map</t>
  </si>
  <si>
    <t>Shyam Sundar Ji</t>
  </si>
  <si>
    <t xml:space="preserve">AI Auditors, Energy Returns
</t>
  </si>
  <si>
    <t xml:space="preserve">Shyam Sundar Ji liked the AI Auditor tool.
According to him, the country lacks reliable MSME energy data. To address this, he proposed introducing Energy Returns, similar to GST Returns or Income Tax Returns, where industries periodically submit their energy consumption data.
He also supports building a Technology Marketplace alongside the AI Auditor initiative.
</t>
  </si>
  <si>
    <t>Niraj Banyal</t>
  </si>
  <si>
    <t xml:space="preserve"> Energy/Agritech</t>
  </si>
  <si>
    <r>
      <rPr>
        <sz val="11"/>
        <color rgb="FF000000"/>
        <rFont val="Times New Roman"/>
      </rPr>
      <t>We need to continue working with him.
We should build on the endorsement we have received from him.
We also need to work with him on interactions with the</t>
    </r>
    <r>
      <rPr>
        <sz val="11"/>
        <color rgb="FFFF0000"/>
        <rFont val="Times New Roman"/>
      </rPr>
      <t xml:space="preserve"> university in Bangalore</t>
    </r>
    <r>
      <rPr>
        <sz val="11"/>
        <color rgb="FF000000"/>
        <rFont val="Times New Roman"/>
      </rPr>
      <t xml:space="preserve"> and move our Energy/Agritech vertical forward.
Whenever we conduct a BEE workshop in Kolkata for clusters, we should invite him.
On the topic of dehydration, we should keep sharing relevant documents with him every 15 days or once a month so that he can gradually build our case at a larger level.
</t>
    </r>
  </si>
  <si>
    <t>Endorsement for Heat agritech and drip irrigation</t>
  </si>
  <si>
    <t>Khandare</t>
  </si>
  <si>
    <t>Aditi Scheme/ Industrial Gases Proposal</t>
  </si>
  <si>
    <t xml:space="preserve">He wants us to move towards the Aditi Scheme and help promote it.
He is interested in organizing a tea industry workshop in Kolkata within the next three months.
A major part of the discussion focused on the Industrial Gases Proposal.
We need to understand:
Which gases are included under PAT.
Which factories are covered under the industrial gases segment.
What the selection criteria should be.
Study international specific energy consumption benchmarks
</t>
  </si>
  <si>
    <t>Abhishek Sharma</t>
  </si>
  <si>
    <t>Induction + LPG</t>
  </si>
  <si>
    <t>We need to discuss hybrid induction and hybrid LPG with him.</t>
  </si>
  <si>
    <t>Viveak Negi</t>
  </si>
  <si>
    <t>Heat Map</t>
  </si>
  <si>
    <t>Ravi Prajapati</t>
  </si>
  <si>
    <t>C Mohan</t>
  </si>
  <si>
    <t>IT Program</t>
  </si>
  <si>
    <t xml:space="preserve">Whenever we are in a position to develop a larger IT programme, we should reach out to C. Mohan.
Maintain regular contact with him.
</t>
  </si>
  <si>
    <t>Milind Devra ji</t>
  </si>
  <si>
    <t>EESL</t>
  </si>
  <si>
    <t>Anil Chaudhury</t>
  </si>
  <si>
    <t>The MoU signed with him</t>
  </si>
  <si>
    <t xml:space="preserve">Keep in touch by messaging him every two weeks.
Eventually plan an EESL programme involving both Pram and Anil Chaudhary.
</t>
  </si>
  <si>
    <t>Pran Saurabh</t>
  </si>
  <si>
    <t>Girja Shankar and team</t>
  </si>
  <si>
    <t>Heat pumps installation &amp; Rashtrapati Bhawan</t>
  </si>
  <si>
    <t xml:space="preserve">He is working with iFOREST and has identified several locations where heat pumps could potentially be installed.
He proposed that our team conduct technical audits and assessments for these sites without any financial support from their side.
We are not taking up this assignment.
Another assignment relates to Rashtrapati Bhavan, where the objective is to estimate the carbon emissions avoided through plantation and sustainability initiatives.
Sankalp will set up a meeting with the Horticulture Department.
</t>
  </si>
  <si>
    <t>ANRF</t>
  </si>
  <si>
    <t>Kishore Pankikar</t>
  </si>
  <si>
    <t>We meet him on 20th Jul morning</t>
  </si>
  <si>
    <t>kpaknikar@gmail.com</t>
  </si>
  <si>
    <t>Sandeep Tandon</t>
  </si>
  <si>
    <t>Pragati Earth/Xynteo</t>
  </si>
  <si>
    <t>Ramya</t>
  </si>
  <si>
    <t>Maintain goodwill.</t>
  </si>
  <si>
    <t>Bharati</t>
  </si>
  <si>
    <t>Reja</t>
  </si>
  <si>
    <t>Verify Reja's email before replying the email.</t>
  </si>
  <si>
    <t>Ravi Shankar</t>
  </si>
  <si>
    <t>US-India Strategic Partnership Forum (USISPF)</t>
  </si>
  <si>
    <t>Shatakratu Sahu</t>
  </si>
  <si>
    <t>Ask for a meeting with Energy team</t>
  </si>
  <si>
    <t>ssahu@usispf.org</t>
  </si>
  <si>
    <t>Hewlett Foundation</t>
  </si>
  <si>
    <t xml:space="preserve">Anup </t>
  </si>
  <si>
    <t>??</t>
  </si>
  <si>
    <t>Vismit is in contact. Currently inactive.He recently attended London Climate Week.Since many participants are still returning from the event, communication is expected to resume shortly.</t>
  </si>
  <si>
    <t>IIEC</t>
  </si>
  <si>
    <t>Abhishek Dhupar</t>
  </si>
  <si>
    <t xml:space="preserve">They have worked extensively on heat pumps.
They have access to funding and may be able to support some of our initiatives financially.
While they are not very strong strategic connections, they remain useful contacts.
</t>
  </si>
  <si>
    <t>Adhupar@iiec.org</t>
  </si>
  <si>
    <t>Anant Joshi</t>
  </si>
  <si>
    <t xml:space="preserve">Ex-USAID, freelance </t>
  </si>
  <si>
    <t>Ramesh Navaladi</t>
  </si>
  <si>
    <t>Advisor, Business Dev, Partnership</t>
  </si>
  <si>
    <t xml:space="preserve">Thank you note sent. </t>
  </si>
  <si>
    <t>explore how he fits in CRID</t>
  </si>
  <si>
    <t>PK</t>
  </si>
  <si>
    <t>nramesh313@yahoo.com</t>
  </si>
  <si>
    <t>Future Energies</t>
  </si>
  <si>
    <t>Suhail Diaz Valderrama, Director</t>
  </si>
  <si>
    <t>Partnership</t>
  </si>
  <si>
    <t>14th July</t>
  </si>
  <si>
    <t>bring Kartik to next row if meeting happens</t>
  </si>
  <si>
    <t>Connect with Kartik</t>
  </si>
  <si>
    <t>suhail.diaz2@woodplc.com</t>
  </si>
  <si>
    <t>Karthik Perumal, H2 consultant</t>
  </si>
  <si>
    <t>Meeting fixed</t>
  </si>
  <si>
    <t>ICIMOD, Nepal</t>
  </si>
  <si>
    <t>Avishek Malla</t>
  </si>
  <si>
    <t>Nepal Heat Map</t>
  </si>
  <si>
    <t>week of 6th-10th July</t>
  </si>
  <si>
    <t>Linkedin post shared on email</t>
  </si>
  <si>
    <t>newsletter</t>
  </si>
  <si>
    <t>1-2 months</t>
  </si>
  <si>
    <t>HCL Foundation</t>
  </si>
  <si>
    <t>Sakshi --&gt; Santosh</t>
  </si>
  <si>
    <t>2nd message on Linkedin</t>
  </si>
  <si>
    <t>One more email reminder and then this is a dead connection if they don’t respond</t>
  </si>
  <si>
    <t>Reminder</t>
  </si>
  <si>
    <t>SwitchON</t>
  </si>
  <si>
    <t>Swashati</t>
  </si>
  <si>
    <t> She also committed to sharing the details of Greenovation Hub's upcoming standalone bootcamp with Pardeep||Pardeep Garg: Is tasked with reviewing the SwitchON and Greenovation Hub websites,</t>
  </si>
  <si>
    <t>followed up and asked to connect further. Pprepare some answer for next followup on what she ha dshared</t>
  </si>
  <si>
    <t xml:space="preserve">Followup </t>
  </si>
  <si>
    <t>2nd August</t>
  </si>
  <si>
    <t>MoEFCC</t>
  </si>
  <si>
    <t>Shard Sapra</t>
  </si>
  <si>
    <t>NMHS Proposal</t>
  </si>
  <si>
    <t>A nice person.
He is willing to keep an eye out for suitable opportunities.
We can inform him about the applications we have submitted so that he can review them and identify any opportunities.</t>
  </si>
  <si>
    <t>George</t>
  </si>
  <si>
    <t>A nice person.
Both George and Sharad have helped us with introductions related to MOEFCC.</t>
  </si>
  <si>
    <t>Krishna Garg</t>
  </si>
  <si>
    <t>krishankishor.garg@gov.in</t>
  </si>
  <si>
    <t>DFPD</t>
  </si>
  <si>
    <t>JS (Sugar) - Ashwini Srivastava</t>
  </si>
  <si>
    <t>not much maybe agritech and td hydration</t>
  </si>
  <si>
    <t>Follow up after 2–3 months regarding TD Cluster Development.
The challenge we are addressing is primarily a social problem, rather than a technology or engineering problem.
Since the event has concluded recently, follow up after allowing sufficient time.</t>
  </si>
  <si>
    <t xml:space="preserve"> Rosa Lux</t>
  </si>
  <si>
    <t>Britta Peterson</t>
  </si>
  <si>
    <t>Britta.Petersen@rosalux.org</t>
  </si>
  <si>
    <t>Sanjay Dubey</t>
  </si>
  <si>
    <t>We should set up a meeting with him and walk him through our work at an appropriate time.</t>
  </si>
  <si>
    <t>Bloomberg NEF</t>
  </si>
  <si>
    <t>David Doherty</t>
  </si>
  <si>
    <t>Wadhawani Foundation</t>
  </si>
  <si>
    <t>Shirsendu, MD</t>
  </si>
  <si>
    <t>23rd June</t>
  </si>
  <si>
    <t>Updates have already been shared.
We have established connections through 4–5 people.
Send summary messages mentioning the meetings held with Mr. Indu, the Manipal team, and other relevant stakeholders</t>
  </si>
  <si>
    <t>Referred to by Gopal ji</t>
  </si>
  <si>
    <t>shirshendu.mukherjee@wadhwanifoundation.org</t>
  </si>
  <si>
    <t>Gopal</t>
  </si>
  <si>
    <t>gopal.devanahalli@wadhwanifoundation.org</t>
  </si>
  <si>
    <t>Stenum Asia</t>
  </si>
  <si>
    <t>Rajat Batra, CEO</t>
  </si>
  <si>
    <t>8th July</t>
  </si>
  <si>
    <t xml:space="preserve">not specified </t>
  </si>
  <si>
    <t>irrelevant</t>
  </si>
  <si>
    <t>rajat.batra@stenum-asia.org</t>
  </si>
  <si>
    <t>RMI</t>
  </si>
  <si>
    <t>Jagabanta (JACK ETC)</t>
  </si>
  <si>
    <t>Not very useful contacts.
Different personas.
Jagabanta mentioned that whenever we meet or conduct an event in Delhi, we can invite them to grace the occasion.
There is not much to follow up with them.</t>
  </si>
  <si>
    <t xml:space="preserve">Alex </t>
  </si>
  <si>
    <t>Ankur Malyan</t>
  </si>
  <si>
    <t>amalyan@rmi.org</t>
  </si>
  <si>
    <t>Carbon Removal Alliance India (CRIA)</t>
  </si>
  <si>
    <t>Asitava Sen</t>
  </si>
  <si>
    <t>No immediate follow-ups. Maybe connect later.</t>
  </si>
  <si>
    <t>asitava.sen@cria.earth</t>
  </si>
  <si>
    <t>Anjani</t>
  </si>
  <si>
    <t xml:space="preserve"> Lodha </t>
  </si>
  <si>
    <t>Tushar Agarwal</t>
  </si>
  <si>
    <t>Alternative to Diesels Generators</t>
  </si>
  <si>
    <t>Explore and discuss alternatives to Diesel Generators</t>
  </si>
  <si>
    <t xml:space="preserve">      Dell Foundation</t>
  </si>
  <si>
    <t>Hari Krishnan Narayan</t>
  </si>
  <si>
    <t>Continue sending newsletters.
He may spread awareness about our work within his network.</t>
  </si>
  <si>
    <t xml:space="preserve">        iFOREST</t>
  </si>
  <si>
    <t>Chandra Bhusan</t>
  </si>
  <si>
    <t>Apparal Impact Insitutute</t>
  </si>
  <si>
    <t>Dr Laxmikant</t>
  </si>
  <si>
    <t>laxmikant@apparelimpact.org</t>
  </si>
  <si>
    <t>Quantec Soln</t>
  </si>
  <si>
    <t>Kapil Thool,Founder</t>
  </si>
  <si>
    <t>15th June</t>
  </si>
  <si>
    <t>kapilthool@gmail.com</t>
  </si>
  <si>
    <t>Energy Innovation and Policy Innovation LLC</t>
  </si>
  <si>
    <t>Sonali, Senior Analyst</t>
  </si>
  <si>
    <t>sonali@energyinnovation.org</t>
  </si>
  <si>
    <t>Development Alternatives</t>
  </si>
  <si>
    <t>Dr Gyanesh, Senior Manager</t>
  </si>
  <si>
    <t>18th June</t>
  </si>
  <si>
    <t>gyaneshgupta121291@gmail.com</t>
  </si>
  <si>
    <t>ACE</t>
  </si>
  <si>
    <t>Subhash Kumar</t>
  </si>
  <si>
    <t>Skumar@indiaace.org</t>
  </si>
  <si>
    <t xml:space="preserve">         UK Embassy</t>
  </si>
  <si>
    <t>Archana</t>
  </si>
  <si>
    <t xml:space="preserve">ITRI             </t>
  </si>
  <si>
    <t>Abdur Rub, Chief Executive Officer</t>
  </si>
  <si>
    <t>19th June</t>
  </si>
  <si>
    <t>CEO@ITRI.ORG.IN</t>
  </si>
  <si>
    <t xml:space="preserve">     Delta/The Nudge</t>
  </si>
  <si>
    <t xml:space="preserve">      The^delta prize
</t>
  </si>
  <si>
    <t>Kanishka Chatterjee</t>
  </si>
  <si>
    <t>kc@thedelta.org.in</t>
  </si>
  <si>
    <t xml:space="preserve">IKEA </t>
  </si>
  <si>
    <t>Prateek Aggarwal</t>
  </si>
  <si>
    <t>WRI</t>
  </si>
  <si>
    <t xml:space="preserve">Kartheek </t>
  </si>
  <si>
    <t>Rainmatter Capital</t>
  </si>
  <si>
    <t>Dilip Kumar</t>
  </si>
  <si>
    <t>Gowri Bhat,Investments</t>
  </si>
  <si>
    <t>12th June</t>
  </si>
  <si>
    <t>Referred by Dilip</t>
  </si>
  <si>
    <t>gowri.bhat@zerodha.com</t>
  </si>
  <si>
    <t>Abhinav Singh Negi</t>
  </si>
  <si>
    <t xml:space="preserve">Rainmatter Foundation </t>
  </si>
  <si>
    <t>Satyanarayan Shankaran, Urban Strategy lead</t>
  </si>
  <si>
    <t>27th April</t>
  </si>
  <si>
    <t>Send email a little later after meeting Tanmay</t>
  </si>
  <si>
    <t>Referred by Gowri</t>
  </si>
  <si>
    <t>sathyanarayanan@rainmatter.org</t>
  </si>
  <si>
    <t xml:space="preserve">Tanmay Mukherjee, Strategy Lead </t>
  </si>
  <si>
    <t>Linkedin 2nd message</t>
  </si>
  <si>
    <t>24th July</t>
  </si>
  <si>
    <t>Sailee Rane, strategy lead</t>
  </si>
  <si>
    <t>Linkeding 2nd message</t>
  </si>
  <si>
    <t>Send her a message after Tanmay replies or doesn’t</t>
  </si>
  <si>
    <t>Ashwin Kulkarni, Partner Manager</t>
  </si>
  <si>
    <t>Send intro but also acknowledge that we meet in the august</t>
  </si>
  <si>
    <t>Nachiket Mor, RBI ex chairman</t>
  </si>
  <si>
    <t>erin@nachiketmor.net</t>
  </si>
  <si>
    <t>Gates Foundation</t>
  </si>
  <si>
    <t>Srivalli Krishnan</t>
  </si>
  <si>
    <t>Srivalli.Krishnan@gatesfoundation.org</t>
  </si>
  <si>
    <t>Australian Trade Commission</t>
  </si>
  <si>
    <t>Sharath Nambiar</t>
  </si>
  <si>
    <t>Sharath.Nambiar@austrade.gov.au</t>
  </si>
  <si>
    <t>Terrajoule Energy</t>
  </si>
  <si>
    <t>Roop Karihaloo, Vice President</t>
  </si>
  <si>
    <t>10th June</t>
  </si>
  <si>
    <t>roop@terrajoule.energy</t>
  </si>
  <si>
    <t>Treeni Sustainability Solutions</t>
  </si>
  <si>
    <t>Ankush Patel, Founder and CEO</t>
  </si>
  <si>
    <t>ankush@treeni.com</t>
  </si>
  <si>
    <t>BBE Labs</t>
  </si>
  <si>
    <t>Nidhi Rathi, Founder,</t>
  </si>
  <si>
    <t>Joined a New position, Needs time to go through. Has Previously worked at Google</t>
  </si>
  <si>
    <t>nidzae@gmail.com</t>
  </si>
  <si>
    <t xml:space="preserve">     Japanese Embassy</t>
  </si>
  <si>
    <t xml:space="preserve">      German Embassy</t>
  </si>
  <si>
    <t>Azim Premji University</t>
  </si>
  <si>
    <t>Richa Govil, Vice Chancellor</t>
  </si>
  <si>
    <t>Referred Manjuli or Gopal ji</t>
  </si>
  <si>
    <t>richa.govil@apu.edu.in</t>
  </si>
  <si>
    <t>Manjula, Faculty</t>
  </si>
  <si>
    <t>Referred by Richa Govil</t>
  </si>
  <si>
    <t>manjula.m@apu.edu.in</t>
  </si>
  <si>
    <t>Xynteo</t>
  </si>
  <si>
    <t>Varun Desai</t>
  </si>
  <si>
    <t>Not very useful.
No further follow-up required.</t>
  </si>
  <si>
    <t>Active</t>
  </si>
  <si>
    <t>They have a proposal with them</t>
  </si>
  <si>
    <t>Intermediate</t>
  </si>
  <si>
    <t>Conversation not converted to a proposal yet</t>
  </si>
  <si>
    <t>Passive</t>
  </si>
  <si>
    <t>Long conversations but nothing specific</t>
  </si>
  <si>
    <t>Dead</t>
  </si>
  <si>
    <t>Obvious!</t>
  </si>
  <si>
    <t>Funded</t>
  </si>
  <si>
    <t>Overall summary of connection</t>
  </si>
  <si>
    <t>Last Meeting/Discussion</t>
  </si>
  <si>
    <t>Number of formal Meetings?</t>
  </si>
  <si>
    <t>Next Steps (Action Points)</t>
  </si>
  <si>
    <t>Due Date for Followup</t>
  </si>
  <si>
    <t>Follow up on 29th July if no response</t>
  </si>
  <si>
    <t>Good</t>
  </si>
  <si>
    <t>Email to ISHRAE
Objectives, area of collboaration
Mapping, Study, size, ecosystem development
Position paper on heat pumps
2. Reach out to R Sarvannan (President)
3. Heat Pump TG Head - Pravin Kumar (Working closely with BIS)</t>
  </si>
  <si>
    <t>Nothing for now</t>
  </si>
  <si>
    <t>We sent our latest IHP 2 pager</t>
  </si>
  <si>
    <t>We are trying to send them a budget?</t>
  </si>
  <si>
    <t>Reminder email to Santosh for a call sent</t>
  </si>
  <si>
    <t xml:space="preserve">Shashvat Singh </t>
  </si>
  <si>
    <t xml:space="preserve">We met him at the German Embassy event on </t>
  </si>
  <si>
    <t>27th June (Thursday)</t>
  </si>
  <si>
    <t>1) Introductory discussion - shared each others work
2) Can continue exploring further discussions</t>
  </si>
  <si>
    <t>India Foundation Office</t>
  </si>
  <si>
    <t>Followup email (General great meeting you) 
Mail with abstract on energy security article</t>
  </si>
  <si>
    <t>Tuesday (30th June) email sent</t>
  </si>
  <si>
    <t>23rd June (Tuesday)</t>
  </si>
  <si>
    <t xml:space="preserve">Quite Positive </t>
  </si>
  <si>
    <t xml:space="preserve">WA message exchange continuing </t>
  </si>
  <si>
    <t>Starbucks</t>
  </si>
  <si>
    <t>2 (With the team)</t>
  </si>
  <si>
    <t>1) Create a proposal for UP and Maharasthra for their ongoing initiatives (Cost of the project can be 50 Lakhs, 6 months)
2) Pardeep to visit Kohlapur for the ADB event</t>
  </si>
  <si>
    <t>Heat Electrification</t>
  </si>
  <si>
    <t xml:space="preserve">We need to set up a meeting with the DG.
</t>
  </si>
  <si>
    <t>Refine AI Proposal and reshare and work on energy proposal?</t>
  </si>
  <si>
    <t>Niraj</t>
  </si>
  <si>
    <t>We have su</t>
  </si>
  <si>
    <t>Anil Chaudhary</t>
  </si>
  <si>
    <t>Girija Shankar and Team</t>
  </si>
  <si>
    <t xml:space="preserve">1. Share the files with them
2.Work on carbon abatement (Visit Rashtrapati Bhawan and Horticulture dept </t>
  </si>
  <si>
    <t>Jayaswini</t>
  </si>
  <si>
    <t>SELCO Project</t>
  </si>
  <si>
    <t>He is also a strong supporter of the SELCO collaboration.
Stay in regular contact.
Send newsletters periodically.
Arrange a meeting with senior officials at SELCO to walk them through our work.</t>
  </si>
  <si>
    <t>xynteo</t>
  </si>
  <si>
    <t>Thermal transition</t>
  </si>
  <si>
    <t>A good person and a valuable connection.
Although he may not provide funding, we can organize events together.</t>
  </si>
  <si>
    <t>He wants to help us but will not go beyond his current responsibilities.</t>
  </si>
  <si>
    <t>CRF event work (Heat Pump Manufacturers)</t>
  </si>
  <si>
    <t>Anup</t>
  </si>
  <si>
    <t>Currently inactive.
He recently attended London Climate Week.
Since many participants are still returning from the event, communication is expected to resume shortly.</t>
  </si>
  <si>
    <t>Manisha</t>
  </si>
  <si>
    <t>Potentailly Td Dehydration and develpment sector work.</t>
  </si>
  <si>
    <t>Overall, Nivedita is a very good contact.
We can co-develop several projects with Nangia in the future.
Try to schedule one meeting every month with Manisha and Nivedita to discuss ongoing developments.</t>
  </si>
  <si>
    <t xml:space="preserve">NEDO </t>
  </si>
  <si>
    <t>The proposed budget of ₹70 lakh is considered too high.
Reduce the proposal to approximately ₹35–40 lakh and resend it.
This should not be done immediately.
Send a follow-up email next week regarding the revised proposal.
Sankalp is connected with a relevant contact and should follow up through WhatsApp or a phone call rather than email.</t>
  </si>
  <si>
    <t>Try to meeting his broader German team</t>
  </si>
  <si>
    <t xml:space="preserve">Sent </t>
  </si>
  <si>
    <t>Finalise PPT (With Prashant inputs) and meeting with MoHUA this week</t>
  </si>
  <si>
    <t xml:space="preserve">               DFPD</t>
  </si>
  <si>
    <t>Director (DFPD)</t>
  </si>
  <si>
    <t xml:space="preserve">          Rosa Lux</t>
  </si>
  <si>
    <t xml:space="preserve">                IIEC</t>
  </si>
  <si>
    <t>Just Transitioned</t>
  </si>
  <si>
    <t>Shirsendu</t>
  </si>
  <si>
    <t>Rajeswhar</t>
  </si>
  <si>
    <t>WHR</t>
  </si>
  <si>
    <t xml:space="preserve">                ICC</t>
  </si>
  <si>
    <t>Brendon</t>
  </si>
  <si>
    <t>Padma</t>
  </si>
  <si>
    <t xml:space="preserve"> UNIDO</t>
  </si>
  <si>
    <t>Debajit Das</t>
  </si>
  <si>
    <t>Through email (29th June)</t>
  </si>
  <si>
    <t>Good, suggested a lot of connections in tea dehydration indsutry for pilots. For GEF-9 aasked to connect directly with Rituraj</t>
  </si>
  <si>
    <t>Monday (22nd June)</t>
  </si>
  <si>
    <t>UNIDO office</t>
  </si>
  <si>
    <t>Wait for revert over last email for GEF-8 Work and Tea Dehydration
Connect with Rituraj for GEF 9 proposal</t>
  </si>
  <si>
    <t>When GEF-9 proposal is ready</t>
  </si>
  <si>
    <t>Rituraj</t>
  </si>
  <si>
    <t>Romara</t>
  </si>
  <si>
    <t>Kishore</t>
  </si>
  <si>
    <t>Viveak - Put his LinkedIn profile on CRID WA
Try to setup a Vc on Wed/thurs (7-8 core people)</t>
  </si>
  <si>
    <t>Monday (29th June) - Done</t>
  </si>
  <si>
    <t xml:space="preserve">2 Emails
1. Manisha and Nivedita
2. Email to Sandeep Tandon
</t>
  </si>
  <si>
    <t>Kapil Thool</t>
  </si>
  <si>
    <t>Sonali</t>
  </si>
  <si>
    <t>Dr Gyanesh</t>
  </si>
  <si>
    <t>Richa</t>
  </si>
  <si>
    <t>Manjula</t>
  </si>
  <si>
    <t>On Call - Pardeep sir</t>
  </si>
  <si>
    <t>29/06/26</t>
  </si>
  <si>
    <t>Abdur Rub</t>
  </si>
  <si>
    <t>NABARD?</t>
  </si>
  <si>
    <t>Rajat Batra</t>
  </si>
  <si>
    <t>Mail - we forgot to call you. can we schedule a meeting with him next week</t>
  </si>
  <si>
    <t>cKinetics</t>
  </si>
  <si>
    <t>Bhupender Singh Bhalla ji</t>
  </si>
  <si>
    <t>Zero down on one path and get back to him (Maximum by Wednesday - send him an email)</t>
  </si>
  <si>
    <t>Subhash ji</t>
  </si>
  <si>
    <t>Monali zeya</t>
  </si>
  <si>
    <t>Interesting meeting, Topic of concern</t>
  </si>
  <si>
    <t>Tea Dehydration Pilot</t>
  </si>
  <si>
    <t>Last week., Monday (4 PM)</t>
  </si>
  <si>
    <t>1. All 3 Brendon documents to be sent to her
2. Tea Dehydration Project discussion at some point and connection at Ujjwal (Energiva) - Name needs to get confirmed</t>
  </si>
  <si>
    <t>Helped us connect with HP Foundation</t>
  </si>
  <si>
    <t>USISPF</t>
  </si>
  <si>
    <t>Shatakratu</t>
  </si>
  <si>
    <t>29th June (</t>
  </si>
  <si>
    <t>Shell Foundation</t>
  </si>
  <si>
    <t>ICIMOD</t>
  </si>
  <si>
    <t xml:space="preserve">             ACE</t>
  </si>
  <si>
    <t xml:space="preserve">              TERI </t>
  </si>
  <si>
    <t>Nagendra Kumar</t>
  </si>
  <si>
    <t>Resource effiency, circular economy</t>
  </si>
  <si>
    <t>Friday</t>
  </si>
  <si>
    <t>Email and discussion on biomass proposal</t>
  </si>
  <si>
    <t>Embassy of Switzerland</t>
  </si>
  <si>
    <t>Anand Shukla</t>
  </si>
  <si>
    <t>4th july with research on iclei</t>
  </si>
  <si>
    <t>Gowri Bhat</t>
  </si>
  <si>
    <t>Satyanarayan Shankaran</t>
  </si>
  <si>
    <t>Nachiket Mor</t>
  </si>
  <si>
    <t xml:space="preserve">Dalberg </t>
  </si>
  <si>
    <t xml:space="preserve">CLASP </t>
  </si>
  <si>
    <t xml:space="preserve">Anant Joshi </t>
  </si>
  <si>
    <t>Ankush Patel</t>
  </si>
  <si>
    <t>Cstep</t>
  </si>
  <si>
    <t>Roop Karihaloo</t>
  </si>
  <si>
    <t>ECube</t>
  </si>
  <si>
    <t>Shankar ji</t>
  </si>
  <si>
    <t>Send a praise email and setup a call and second para (btw ajay mathur point)</t>
  </si>
  <si>
    <t>WRI (Ex-AEEE)</t>
  </si>
  <si>
    <t>Bhaskar Natarajan</t>
  </si>
  <si>
    <t>Thursday (4 PM) - 25th June</t>
  </si>
  <si>
    <t>Email praising him and action points</t>
  </si>
  <si>
    <t>Monday (29th June)</t>
  </si>
  <si>
    <t>1st email after call</t>
  </si>
  <si>
    <t>Responded</t>
  </si>
  <si>
    <t>Ramesh Navladi</t>
  </si>
  <si>
    <t>ex USAID</t>
  </si>
  <si>
    <t>PK presented CRID. Broader role to be discussed on a group call</t>
  </si>
  <si>
    <t>yes. thanking us and looking fwd to call next week</t>
  </si>
  <si>
    <t>Kishore Veer</t>
  </si>
  <si>
    <t>Is tasked with speaking to his team at Asar regarding Pardeep's work||Pardeep to contact Supradesh  who is currently looking for opportunities and could be a good fit for Pardeep's team||bring a heat pump manufacturer to any future meetings regarding the Kerala cluster to provide additional credibility and authenticity</t>
  </si>
  <si>
    <t>Did yuou get chance, Suprateesh not repleeeeeee</t>
  </si>
  <si>
    <t>Gurpreet Kaur, Sanam Wazir</t>
  </si>
  <si>
    <t>sharing a concept note specifically for Punjab and Haryanaregarding the application of energy-efficient heat pumps in industrial clusters, such as textile hubs and bakeries||committed to sending information about his team's agritech work</t>
  </si>
  <si>
    <t>ask Swayam to put this in list NO EMAIL</t>
  </si>
  <si>
    <t>Suhail</t>
  </si>
  <si>
    <t>eaching out to Kartik, a subject matter expert and the focal point for India on Suhail's team.</t>
  </si>
  <si>
    <t>Kartik emailed on 14th July for meeting next week; not responded</t>
  </si>
  <si>
    <t>fowlloup Friday</t>
  </si>
  <si>
    <t xml:space="preserve">Sankalp is tasked with starting "reverse counting" or reverse planning.||specific goal to try and send something out by the 21st.||A team member intends to send an email to Charlotte. ||pending email from a "Brazilian girl" that requires a carefully considered response; </t>
  </si>
  <si>
    <t>ethanol gensets - to be made</t>
  </si>
  <si>
    <t>Swashati </t>
  </si>
  <si>
    <t>She has emailed back on 15th with the Greenobation hub</t>
  </si>
  <si>
    <t>we will go theough it meantme connect us t Switchon</t>
  </si>
  <si>
    <t>Nagendra</t>
  </si>
  <si>
    <t>Pardeep Garg: Is tasked with developing and sharing the first preliminary draft (or concept note) of a proposal for a study that will map biomass availability against the demands of hard-to-abate sectors (such as steel, marine, aviation, and fertilizers). </t>
  </si>
  <si>
    <t>Swayam to to put in pipeline, very nice to meet</t>
  </si>
  <si>
    <t>Proposal name</t>
  </si>
  <si>
    <t>Concerrned party</t>
  </si>
  <si>
    <t>preliminary draft (or concept note) of a proposal for a study that will map biomass availability against the demands of hard-to-abate sectors (such as steel, marine, aviation, and fertilizers).</t>
  </si>
  <si>
    <t>Ethanol Gensets</t>
  </si>
  <si>
    <t xml:space="preserve"> Punjab and Haryanaregarding the application of energy-efficient heat pumps in industrial clusters, such as textile hubs and bakeries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</si>
</sst>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1"/>
      <color theme="1"/>
      <name val="Times New Roman"/>
    </font>
    <font>
      <b/>
      <sz val="11"/>
      <color theme="1"/>
      <name val="Times New Roman"/>
    </font>
    <font>
      <sz val="11"/>
      <color rgb="FF000000"/>
      <name val="Times New Roman"/>
    </font>
    <font>
      <sz val="11"/>
      <color theme="1"/>
      <name val="Times New Roman"/>
      <family val="1"/>
    </font>
    <font>
      <sz val="11"/>
      <color rgb="FFFF0000"/>
      <name val="Times New Roman"/>
    </font>
    <font>
      <b/>
      <sz val="11"/>
      <color theme="1"/>
      <name val="Times New Roman"/>
      <family val="1"/>
    </font>
    <font>
      <sz val="11"/>
      <color rgb="FF000000"/>
      <name val="WordVisi_MSFontService"/>
      <charset val="1"/>
    </font>
    <font>
      <sz val="11"/>
      <color rgb="FF000000"/>
      <name val="Aptos"/>
      <charset val="1"/>
    </font>
    <font>
      <sz val="10.5"/>
      <color rgb="FF000000"/>
      <name val="Aptos"/>
      <charset val="1"/>
    </font>
    <font>
      <sz val="11"/>
      <color rgb="FF000000"/>
      <name val="Times New Roman"/>
      <family val="1"/>
    </font>
    <font>
      <b/>
      <sz val="11"/>
      <color theme="0"/>
      <name val="Times New Roman"/>
      <family val="1"/>
    </font>
    <font>
      <u/>
      <sz val="11"/>
      <color theme="10"/>
      <name val="Calibri"/>
      <family val="2"/>
      <scheme val="minor"/>
    </font>
    <font>
      <sz val="10"/>
      <color rgb="FF000000"/>
      <name val="Times New Roman"/>
    </font>
    <font>
      <b/>
      <sz val="10"/>
      <color rgb="FF000000"/>
      <name val="Times New Roman"/>
    </font>
    <font>
      <sz val="11"/>
      <color theme="1"/>
      <name val="Times New Roman"/>
      <family val="1"/>
      <charset val="1"/>
    </font>
  </fonts>
  <fills count="12">
    <fill>
      <patternFill patternType="none"/>
    </fill>
    <fill>
      <patternFill patternType="gray125"/>
    </fill>
    <fill>
      <patternFill patternType="solid">
        <fgColor theme="4"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theme="9" tint="-0.249977111117893"/>
        <bgColor indexed="64"/>
      </patternFill>
    </fill>
    <fill>
      <patternFill patternType="solid">
        <fgColor theme="5" tint="0.59999389629810485"/>
        <bgColor indexed="64"/>
      </patternFill>
    </fill>
  </fills>
  <borders count="8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style="medium">
        <color rgb="FF000000"/>
      </top>
      <bottom/>
      <diagonal/>
    </border>
    <border>
      <left/>
      <right style="thin">
        <color rgb="FF000000"/>
      </right>
      <top/>
      <bottom style="medium">
        <color rgb="FF000000"/>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medium">
        <color indexed="64"/>
      </right>
      <top style="medium">
        <color indexed="64"/>
      </top>
      <bottom style="medium">
        <color indexed="64"/>
      </bottom>
      <diagonal/>
    </border>
    <border>
      <left style="thin">
        <color rgb="FF000000"/>
      </left>
      <right style="thin">
        <color rgb="FF000000"/>
      </right>
      <top style="medium">
        <color indexed="64"/>
      </top>
      <bottom/>
      <diagonal/>
    </border>
    <border>
      <left style="thin">
        <color rgb="FF000000"/>
      </left>
      <right style="thin">
        <color rgb="FF000000"/>
      </right>
      <top/>
      <bottom style="medium">
        <color indexed="64"/>
      </bottom>
      <diagonal/>
    </border>
    <border>
      <left/>
      <right style="thin">
        <color rgb="FF000000"/>
      </right>
      <top style="medium">
        <color indexed="64"/>
      </top>
      <bottom/>
      <diagonal/>
    </border>
    <border>
      <left style="thin">
        <color rgb="FF000000"/>
      </left>
      <right style="medium">
        <color indexed="64"/>
      </right>
      <top/>
      <bottom style="thin">
        <color rgb="FF000000"/>
      </bottom>
      <diagonal/>
    </border>
    <border>
      <left/>
      <right style="thin">
        <color rgb="FF000000"/>
      </right>
      <top/>
      <bottom style="medium">
        <color indexed="64"/>
      </bottom>
      <diagonal/>
    </border>
    <border>
      <left/>
      <right/>
      <top style="medium">
        <color indexed="64"/>
      </top>
      <bottom/>
      <diagonal/>
    </border>
    <border>
      <left style="thin">
        <color rgb="FF000000"/>
      </left>
      <right style="medium">
        <color rgb="FF000000"/>
      </right>
      <top style="medium">
        <color rgb="FF000000"/>
      </top>
      <bottom style="medium">
        <color indexed="64"/>
      </bottom>
      <diagonal/>
    </border>
    <border>
      <left style="thin">
        <color rgb="FF000000"/>
      </left>
      <right style="medium">
        <color indexed="64"/>
      </right>
      <top style="medium">
        <color indexed="64"/>
      </top>
      <bottom/>
      <diagonal/>
    </border>
    <border>
      <left style="thin">
        <color rgb="FF000000"/>
      </left>
      <right style="medium">
        <color indexed="64"/>
      </right>
      <top/>
      <bottom/>
      <diagonal/>
    </border>
    <border>
      <left style="medium">
        <color indexed="64"/>
      </left>
      <right style="thin">
        <color rgb="FF000000"/>
      </right>
      <top style="medium">
        <color indexed="64"/>
      </top>
      <bottom style="medium">
        <color indexed="64"/>
      </bottom>
      <diagonal/>
    </border>
    <border>
      <left style="thin">
        <color indexed="64"/>
      </left>
      <right style="thin">
        <color indexed="64"/>
      </right>
      <top/>
      <bottom/>
      <diagonal/>
    </border>
    <border>
      <left style="medium">
        <color indexed="64"/>
      </left>
      <right style="thin">
        <color rgb="FF000000"/>
      </right>
      <top style="medium">
        <color indexed="64"/>
      </top>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rgb="FF000000"/>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000000"/>
      </left>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rgb="FF000000"/>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style="thin">
        <color rgb="FF000000"/>
      </top>
      <bottom style="thin">
        <color rgb="FF000000"/>
      </bottom>
      <diagonal/>
    </border>
    <border>
      <left style="medium">
        <color indexed="64"/>
      </left>
      <right/>
      <top/>
      <bottom/>
      <diagonal/>
    </border>
    <border>
      <left/>
      <right style="thin">
        <color indexed="64"/>
      </right>
      <top/>
      <bottom/>
      <diagonal/>
    </border>
    <border>
      <left/>
      <right/>
      <top/>
      <bottom style="thin">
        <color rgb="FF000000"/>
      </bottom>
      <diagonal/>
    </border>
    <border>
      <left/>
      <right/>
      <top style="thin">
        <color rgb="FF000000"/>
      </top>
      <bottom/>
      <diagonal/>
    </border>
    <border>
      <left style="thin">
        <color rgb="FF000000"/>
      </left>
      <right/>
      <top/>
      <bottom style="medium">
        <color indexed="64"/>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thin">
        <color indexed="64"/>
      </left>
      <right/>
      <top style="medium">
        <color indexed="64"/>
      </top>
      <bottom/>
      <diagonal/>
    </border>
    <border>
      <left style="medium">
        <color indexed="64"/>
      </left>
      <right/>
      <top style="medium">
        <color indexed="64"/>
      </top>
      <bottom/>
      <diagonal/>
    </border>
    <border>
      <left style="medium">
        <color indexed="64"/>
      </left>
      <right style="thin">
        <color rgb="FF000000"/>
      </right>
      <top/>
      <bottom style="thin">
        <color rgb="FF000000"/>
      </bottom>
      <diagonal/>
    </border>
    <border>
      <left/>
      <right/>
      <top style="thin">
        <color rgb="FF000000"/>
      </top>
      <bottom style="medium">
        <color indexed="64"/>
      </bottom>
      <diagonal/>
    </border>
    <border>
      <left/>
      <right/>
      <top style="medium">
        <color indexed="64"/>
      </top>
      <bottom style="thin">
        <color rgb="FF000000"/>
      </bottom>
      <diagonal/>
    </border>
    <border>
      <left style="thin">
        <color indexed="64"/>
      </left>
      <right/>
      <top/>
      <bottom/>
      <diagonal/>
    </border>
  </borders>
  <cellStyleXfs count="2">
    <xf numFmtId="0" fontId="0" fillId="0" borderId="0"/>
    <xf numFmtId="0" fontId="13" fillId="0" borderId="0" applyNumberFormat="0" applyFill="0" applyBorder="0" applyAlignment="0" applyProtection="0"/>
  </cellStyleXfs>
  <cellXfs count="502">
    <xf numFmtId="0" fontId="0" fillId="0" borderId="0" xfId="0"/>
    <xf numFmtId="0" fontId="2" fillId="0" borderId="3" xfId="0" applyFont="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left" wrapText="1"/>
    </xf>
    <xf numFmtId="0" fontId="2" fillId="0" borderId="2" xfId="0" applyFont="1" applyBorder="1" applyAlignment="1">
      <alignment horizontal="center" wrapText="1"/>
    </xf>
    <xf numFmtId="0" fontId="2" fillId="0" borderId="2" xfId="0" applyFont="1" applyBorder="1" applyAlignment="1">
      <alignment horizontal="left" wrapText="1"/>
    </xf>
    <xf numFmtId="0" fontId="3" fillId="0" borderId="1" xfId="0" applyFont="1" applyBorder="1" applyAlignment="1">
      <alignment horizontal="center" wrapText="1"/>
    </xf>
    <xf numFmtId="0" fontId="2" fillId="0" borderId="6"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left" wrapText="1"/>
    </xf>
    <xf numFmtId="0" fontId="0" fillId="0" borderId="0" xfId="0" applyAlignment="1">
      <alignment horizontal="left" wrapText="1"/>
    </xf>
    <xf numFmtId="0" fontId="2" fillId="0" borderId="3" xfId="0" applyFont="1" applyBorder="1" applyAlignment="1">
      <alignment horizontal="left" wrapText="1"/>
    </xf>
    <xf numFmtId="0" fontId="3" fillId="0" borderId="1" xfId="0" applyFont="1" applyBorder="1" applyAlignment="1">
      <alignment horizontal="left" wrapText="1"/>
    </xf>
    <xf numFmtId="0" fontId="2" fillId="5" borderId="1" xfId="0" applyFont="1" applyFill="1" applyBorder="1" applyAlignment="1">
      <alignment horizontal="left" wrapText="1"/>
    </xf>
    <xf numFmtId="0" fontId="2" fillId="5" borderId="1" xfId="0" applyFont="1" applyFill="1" applyBorder="1" applyAlignment="1">
      <alignment horizontal="center" wrapText="1"/>
    </xf>
    <xf numFmtId="0" fontId="2" fillId="0" borderId="6" xfId="0" applyFont="1" applyBorder="1" applyAlignment="1">
      <alignment horizontal="left" wrapText="1"/>
    </xf>
    <xf numFmtId="0" fontId="1" fillId="0" borderId="0" xfId="0" applyFont="1" applyAlignment="1">
      <alignment horizontal="left" wrapText="1"/>
    </xf>
    <xf numFmtId="0" fontId="0" fillId="0" borderId="3" xfId="0" applyBorder="1" applyAlignment="1">
      <alignment horizontal="center" wrapText="1"/>
    </xf>
    <xf numFmtId="0" fontId="0" fillId="0" borderId="3" xfId="0" applyBorder="1" applyAlignment="1">
      <alignment horizontal="left"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0" fillId="5" borderId="0" xfId="0" applyFill="1" applyAlignment="1">
      <alignment horizontal="left" wrapText="1"/>
    </xf>
    <xf numFmtId="0" fontId="2"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3" fillId="3" borderId="12"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2" fillId="0" borderId="10" xfId="0" applyFont="1" applyBorder="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0" fontId="2" fillId="5" borderId="6" xfId="0" applyFont="1" applyFill="1" applyBorder="1" applyAlignment="1">
      <alignment horizontal="center" vertical="center" wrapText="1"/>
    </xf>
    <xf numFmtId="0" fontId="2" fillId="0" borderId="0" xfId="0" applyFont="1" applyAlignment="1">
      <alignment horizontal="center" vertical="center" wrapText="1"/>
    </xf>
    <xf numFmtId="0" fontId="3" fillId="0" borderId="6" xfId="0" applyFont="1" applyBorder="1" applyAlignment="1">
      <alignment horizontal="center" vertical="center" wrapText="1"/>
    </xf>
    <xf numFmtId="0" fontId="2" fillId="5" borderId="11" xfId="0" applyFont="1" applyFill="1" applyBorder="1" applyAlignment="1">
      <alignment horizontal="center" vertical="center" wrapText="1"/>
    </xf>
    <xf numFmtId="0" fontId="0" fillId="0" borderId="6" xfId="0" applyBorder="1" applyAlignment="1">
      <alignment horizontal="center" vertical="center" wrapText="1"/>
    </xf>
    <xf numFmtId="0" fontId="3" fillId="3" borderId="0" xfId="0" applyFont="1" applyFill="1" applyAlignment="1">
      <alignment horizontal="center" vertical="center" wrapText="1"/>
    </xf>
    <xf numFmtId="0" fontId="0" fillId="0" borderId="11" xfId="0" applyBorder="1" applyAlignment="1">
      <alignment horizontal="center" vertical="center" wrapText="1"/>
    </xf>
    <xf numFmtId="0" fontId="2" fillId="0" borderId="18"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5" xfId="0" applyFont="1" applyBorder="1" applyAlignment="1">
      <alignment horizontal="left" wrapText="1"/>
    </xf>
    <xf numFmtId="0" fontId="2" fillId="0" borderId="25" xfId="0" applyFont="1" applyBorder="1" applyAlignment="1">
      <alignment horizontal="left" wrapText="1"/>
    </xf>
    <xf numFmtId="0" fontId="2" fillId="5" borderId="5" xfId="0" applyFont="1" applyFill="1" applyBorder="1" applyAlignment="1">
      <alignment horizontal="left" wrapText="1"/>
    </xf>
    <xf numFmtId="0" fontId="2" fillId="0" borderId="24" xfId="0" applyFont="1" applyBorder="1" applyAlignment="1">
      <alignment horizontal="left" wrapText="1"/>
    </xf>
    <xf numFmtId="0" fontId="3" fillId="0" borderId="5" xfId="0" applyFont="1" applyBorder="1" applyAlignment="1">
      <alignment horizontal="left" wrapText="1"/>
    </xf>
    <xf numFmtId="0" fontId="0" fillId="0" borderId="5" xfId="0" applyBorder="1" applyAlignment="1">
      <alignment horizontal="left" wrapText="1"/>
    </xf>
    <xf numFmtId="0" fontId="0" fillId="0" borderId="24" xfId="0" applyBorder="1" applyAlignment="1">
      <alignment horizontal="left" wrapText="1"/>
    </xf>
    <xf numFmtId="0" fontId="0" fillId="0" borderId="32" xfId="0" applyBorder="1" applyAlignment="1">
      <alignment horizontal="left"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6" xfId="0" applyFont="1" applyFill="1" applyBorder="1" applyAlignment="1">
      <alignment horizontal="left" vertical="center" wrapText="1"/>
    </xf>
    <xf numFmtId="0" fontId="3" fillId="2" borderId="26" xfId="0" applyFont="1" applyFill="1" applyBorder="1" applyAlignment="1">
      <alignment horizontal="left" vertical="center" wrapText="1"/>
    </xf>
    <xf numFmtId="0" fontId="2" fillId="0" borderId="16" xfId="0" applyFont="1" applyBorder="1" applyAlignment="1">
      <alignment horizontal="center" vertical="center" wrapText="1"/>
    </xf>
    <xf numFmtId="0" fontId="2" fillId="5" borderId="16" xfId="0" applyFont="1" applyFill="1" applyBorder="1" applyAlignment="1">
      <alignment horizontal="left" vertical="center" wrapText="1"/>
    </xf>
    <xf numFmtId="0" fontId="5" fillId="0" borderId="16" xfId="0" applyFont="1" applyBorder="1" applyAlignment="1">
      <alignment horizontal="left" vertical="center" wrapText="1"/>
    </xf>
    <xf numFmtId="0" fontId="2" fillId="0" borderId="26"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1" xfId="0" applyFont="1" applyBorder="1" applyAlignment="1">
      <alignment horizontal="left" vertical="center" wrapText="1"/>
    </xf>
    <xf numFmtId="0" fontId="2" fillId="0" borderId="20" xfId="0" applyFont="1" applyBorder="1" applyAlignment="1">
      <alignment horizontal="left" vertical="center" wrapText="1"/>
    </xf>
    <xf numFmtId="0" fontId="2" fillId="0" borderId="22" xfId="0" applyFont="1" applyBorder="1" applyAlignment="1">
      <alignment horizontal="left" vertical="center" wrapText="1"/>
    </xf>
    <xf numFmtId="0" fontId="2" fillId="0" borderId="23" xfId="0" applyFont="1" applyBorder="1" applyAlignment="1">
      <alignment horizontal="left" vertical="center" wrapText="1"/>
    </xf>
    <xf numFmtId="0" fontId="2" fillId="0" borderId="2" xfId="0" applyFont="1" applyBorder="1" applyAlignment="1">
      <alignment horizontal="left" vertical="center" wrapText="1"/>
    </xf>
    <xf numFmtId="0" fontId="2" fillId="0" borderId="30" xfId="0" applyFont="1" applyBorder="1" applyAlignment="1">
      <alignment horizontal="left"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3" fillId="3" borderId="29" xfId="0" applyFont="1" applyFill="1" applyBorder="1" applyAlignment="1">
      <alignment horizontal="center"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18" xfId="0" applyFont="1" applyBorder="1" applyAlignment="1">
      <alignment vertical="center" wrapText="1"/>
    </xf>
    <xf numFmtId="0" fontId="2" fillId="0" borderId="1" xfId="0" applyFont="1" applyBorder="1" applyAlignment="1">
      <alignment vertical="center" wrapText="1"/>
    </xf>
    <xf numFmtId="0" fontId="2" fillId="5" borderId="27" xfId="0" applyFont="1" applyFill="1" applyBorder="1" applyAlignment="1">
      <alignment horizontal="left" vertical="center" wrapText="1"/>
    </xf>
    <xf numFmtId="0" fontId="5" fillId="0" borderId="27" xfId="0" applyFont="1" applyBorder="1" applyAlignment="1">
      <alignment horizontal="left" vertical="center" wrapText="1"/>
    </xf>
    <xf numFmtId="0" fontId="2" fillId="0" borderId="34" xfId="0" applyFont="1" applyBorder="1" applyAlignment="1">
      <alignment horizontal="left" vertical="center" wrapText="1"/>
    </xf>
    <xf numFmtId="0" fontId="2" fillId="5" borderId="4" xfId="0" applyFont="1" applyFill="1" applyBorder="1" applyAlignment="1">
      <alignment horizontal="left" vertical="center" wrapText="1"/>
    </xf>
    <xf numFmtId="0" fontId="5" fillId="0" borderId="4" xfId="0" applyFont="1" applyBorder="1" applyAlignment="1">
      <alignment horizontal="left" vertical="center" wrapText="1"/>
    </xf>
    <xf numFmtId="0" fontId="2" fillId="0" borderId="35" xfId="0" applyFont="1" applyBorder="1" applyAlignment="1">
      <alignment horizontal="left" vertical="center" wrapText="1"/>
    </xf>
    <xf numFmtId="0" fontId="5" fillId="0" borderId="16" xfId="0" applyFont="1" applyBorder="1" applyAlignment="1">
      <alignment horizontal="center" vertical="center" wrapText="1"/>
    </xf>
    <xf numFmtId="0" fontId="7" fillId="2" borderId="16" xfId="0" applyFont="1" applyFill="1"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wrapText="1"/>
    </xf>
    <xf numFmtId="0" fontId="0" fillId="0" borderId="16" xfId="0" applyBorder="1" applyAlignment="1">
      <alignment horizontal="left" wrapText="1"/>
    </xf>
    <xf numFmtId="0" fontId="0" fillId="0" borderId="26" xfId="0" applyBorder="1" applyAlignment="1">
      <alignment horizontal="left" wrapText="1"/>
    </xf>
    <xf numFmtId="0" fontId="3" fillId="6" borderId="15"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5" fillId="0" borderId="4" xfId="0" applyFont="1" applyBorder="1" applyAlignment="1">
      <alignment horizontal="center" vertical="center" wrapText="1"/>
    </xf>
    <xf numFmtId="0" fontId="2" fillId="0" borderId="37"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7" xfId="0" applyFont="1" applyBorder="1" applyAlignment="1">
      <alignment horizontal="left" vertical="center" wrapText="1"/>
    </xf>
    <xf numFmtId="0" fontId="2" fillId="5" borderId="37" xfId="0" applyFont="1" applyFill="1" applyBorder="1" applyAlignment="1">
      <alignment horizontal="left" vertical="center" wrapText="1"/>
    </xf>
    <xf numFmtId="0" fontId="2" fillId="0" borderId="37" xfId="0" applyFont="1" applyBorder="1" applyAlignment="1">
      <alignment horizontal="left" vertical="center" wrapText="1"/>
    </xf>
    <xf numFmtId="0" fontId="7" fillId="7" borderId="36" xfId="0" applyFont="1" applyFill="1" applyBorder="1" applyAlignment="1">
      <alignment horizontal="center" vertical="center" wrapText="1"/>
    </xf>
    <xf numFmtId="0" fontId="0" fillId="7" borderId="0" xfId="0" applyFill="1"/>
    <xf numFmtId="0" fontId="0" fillId="4" borderId="0" xfId="0" applyFill="1"/>
    <xf numFmtId="0" fontId="0" fillId="6" borderId="0" xfId="0" applyFill="1"/>
    <xf numFmtId="0" fontId="0" fillId="8" borderId="0" xfId="0" applyFill="1"/>
    <xf numFmtId="0" fontId="7" fillId="4" borderId="36" xfId="0" applyFont="1" applyFill="1" applyBorder="1" applyAlignment="1">
      <alignment horizontal="center" vertical="center" wrapText="1"/>
    </xf>
    <xf numFmtId="0" fontId="3" fillId="7" borderId="37"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0" fillId="9" borderId="16" xfId="0" applyFill="1" applyBorder="1" applyAlignment="1">
      <alignment horizontal="center" vertical="center" wrapText="1"/>
    </xf>
    <xf numFmtId="0" fontId="2" fillId="0" borderId="0" xfId="0" applyFont="1" applyAlignment="1">
      <alignment horizontal="center" wrapText="1"/>
    </xf>
    <xf numFmtId="0" fontId="2" fillId="5" borderId="0" xfId="0" applyFont="1" applyFill="1" applyAlignment="1">
      <alignment horizontal="center" wrapText="1"/>
    </xf>
    <xf numFmtId="0" fontId="7" fillId="7" borderId="39" xfId="0" applyFont="1" applyFill="1" applyBorder="1" applyAlignment="1">
      <alignment horizontal="center" vertical="center" wrapText="1"/>
    </xf>
    <xf numFmtId="0" fontId="5" fillId="0" borderId="28" xfId="0" applyFont="1" applyBorder="1" applyAlignment="1">
      <alignment horizontal="center" vertical="center" wrapText="1"/>
    </xf>
    <xf numFmtId="0" fontId="5" fillId="0" borderId="28" xfId="0" applyFont="1" applyBorder="1" applyAlignment="1">
      <alignment horizontal="left" vertical="center" wrapText="1"/>
    </xf>
    <xf numFmtId="0" fontId="2" fillId="5" borderId="28" xfId="0" applyFont="1" applyFill="1" applyBorder="1" applyAlignment="1">
      <alignment horizontal="left" vertical="center" wrapText="1"/>
    </xf>
    <xf numFmtId="0" fontId="2" fillId="0" borderId="40" xfId="0" applyFont="1" applyBorder="1" applyAlignment="1">
      <alignment horizontal="left" vertical="center" wrapText="1"/>
    </xf>
    <xf numFmtId="0" fontId="5" fillId="0" borderId="41" xfId="0" applyFont="1" applyBorder="1" applyAlignment="1">
      <alignment horizontal="center" vertical="center" wrapText="1"/>
    </xf>
    <xf numFmtId="0" fontId="5" fillId="0" borderId="41" xfId="0" applyFont="1" applyBorder="1" applyAlignment="1">
      <alignment horizontal="left" vertical="center" wrapText="1"/>
    </xf>
    <xf numFmtId="0" fontId="2" fillId="0" borderId="41" xfId="0" applyFont="1" applyBorder="1" applyAlignment="1">
      <alignment horizontal="center" vertical="center" wrapText="1"/>
    </xf>
    <xf numFmtId="0" fontId="2" fillId="0" borderId="41" xfId="0" applyFont="1" applyBorder="1" applyAlignment="1">
      <alignment horizontal="left" vertical="center" wrapText="1"/>
    </xf>
    <xf numFmtId="0" fontId="5" fillId="0" borderId="43" xfId="0" applyFont="1" applyBorder="1" applyAlignment="1">
      <alignment horizontal="center" vertical="center" wrapText="1"/>
    </xf>
    <xf numFmtId="0" fontId="5" fillId="0" borderId="43" xfId="0" applyFont="1" applyBorder="1" applyAlignment="1">
      <alignment horizontal="left" vertical="center" wrapText="1"/>
    </xf>
    <xf numFmtId="0" fontId="2" fillId="0" borderId="43" xfId="0" applyFont="1" applyBorder="1" applyAlignment="1">
      <alignment horizontal="center" vertical="center" wrapText="1"/>
    </xf>
    <xf numFmtId="0" fontId="2" fillId="5" borderId="43" xfId="0" applyFont="1" applyFill="1" applyBorder="1" applyAlignment="1">
      <alignment horizontal="left" vertical="center" wrapText="1"/>
    </xf>
    <xf numFmtId="0" fontId="2" fillId="0" borderId="44" xfId="0" applyFont="1" applyBorder="1" applyAlignment="1">
      <alignment horizontal="left" vertical="center" wrapText="1"/>
    </xf>
    <xf numFmtId="0" fontId="5" fillId="0" borderId="46" xfId="0" applyFont="1" applyBorder="1" applyAlignment="1">
      <alignment horizontal="center" vertical="center" wrapText="1"/>
    </xf>
    <xf numFmtId="0" fontId="5" fillId="0" borderId="46" xfId="0" applyFont="1" applyBorder="1" applyAlignment="1">
      <alignment horizontal="left" vertical="center" wrapText="1"/>
    </xf>
    <xf numFmtId="0" fontId="2" fillId="0" borderId="46" xfId="0" applyFont="1" applyBorder="1" applyAlignment="1">
      <alignment horizontal="center" vertical="center" wrapText="1"/>
    </xf>
    <xf numFmtId="0" fontId="2" fillId="5" borderId="46" xfId="0" applyFont="1" applyFill="1" applyBorder="1" applyAlignment="1">
      <alignment horizontal="left" vertical="center" wrapText="1"/>
    </xf>
    <xf numFmtId="0" fontId="2" fillId="0" borderId="47" xfId="0" applyFont="1" applyBorder="1" applyAlignment="1">
      <alignment horizontal="left" vertical="center" wrapText="1"/>
    </xf>
    <xf numFmtId="0" fontId="7" fillId="7" borderId="42" xfId="0" applyFont="1" applyFill="1" applyBorder="1" applyAlignment="1">
      <alignment vertical="center" wrapText="1"/>
    </xf>
    <xf numFmtId="0" fontId="7" fillId="7" borderId="45" xfId="0" applyFont="1" applyFill="1" applyBorder="1" applyAlignment="1">
      <alignment vertical="center" wrapText="1"/>
    </xf>
    <xf numFmtId="0" fontId="2" fillId="0" borderId="49" xfId="0" applyFont="1" applyBorder="1" applyAlignment="1">
      <alignment horizontal="center" vertical="center" wrapText="1"/>
    </xf>
    <xf numFmtId="0" fontId="3" fillId="2" borderId="36" xfId="0" applyFont="1" applyFill="1" applyBorder="1" applyAlignment="1">
      <alignment horizontal="center" vertical="center" wrapText="1"/>
    </xf>
    <xf numFmtId="0" fontId="7" fillId="4" borderId="38" xfId="0" applyFont="1" applyFill="1" applyBorder="1" applyAlignment="1">
      <alignment horizontal="center" vertical="center" wrapText="1"/>
    </xf>
    <xf numFmtId="0" fontId="5" fillId="0" borderId="27" xfId="0" applyFont="1" applyBorder="1" applyAlignment="1">
      <alignment horizontal="center" vertical="center" wrapText="1"/>
    </xf>
    <xf numFmtId="0" fontId="0" fillId="0" borderId="41" xfId="0" applyBorder="1"/>
    <xf numFmtId="0" fontId="0" fillId="0" borderId="49" xfId="0" applyBorder="1"/>
    <xf numFmtId="0" fontId="0" fillId="0" borderId="50" xfId="0" applyBorder="1"/>
    <xf numFmtId="0" fontId="7" fillId="4" borderId="39" xfId="0" applyFont="1" applyFill="1" applyBorder="1" applyAlignment="1">
      <alignment horizontal="center" vertical="center" wrapText="1"/>
    </xf>
    <xf numFmtId="0" fontId="7" fillId="6" borderId="52" xfId="0" applyFont="1" applyFill="1" applyBorder="1" applyAlignment="1">
      <alignment horizontal="center" vertical="center" wrapText="1"/>
    </xf>
    <xf numFmtId="0" fontId="5" fillId="0" borderId="55" xfId="0" applyFont="1" applyBorder="1" applyAlignment="1">
      <alignment horizontal="center" vertical="center" wrapText="1"/>
    </xf>
    <xf numFmtId="0" fontId="0" fillId="0" borderId="55" xfId="0" applyBorder="1"/>
    <xf numFmtId="0" fontId="0" fillId="0" borderId="55" xfId="0" applyBorder="1" applyAlignment="1">
      <alignment horizontal="center" vertical="center"/>
    </xf>
    <xf numFmtId="0" fontId="0" fillId="0" borderId="55" xfId="0" applyBorder="1" applyAlignment="1">
      <alignment wrapText="1"/>
    </xf>
    <xf numFmtId="0" fontId="5" fillId="0" borderId="56" xfId="0" applyFont="1" applyBorder="1" applyAlignment="1">
      <alignment horizontal="center" vertical="center" wrapText="1"/>
    </xf>
    <xf numFmtId="0" fontId="0" fillId="0" borderId="56" xfId="0" applyBorder="1"/>
    <xf numFmtId="0" fontId="0" fillId="0" borderId="56" xfId="0" applyBorder="1" applyAlignment="1">
      <alignment vertical="center"/>
    </xf>
    <xf numFmtId="0" fontId="0" fillId="0" borderId="57" xfId="0" applyBorder="1" applyAlignment="1">
      <alignment wrapText="1"/>
    </xf>
    <xf numFmtId="0" fontId="0" fillId="0" borderId="41" xfId="0" applyBorder="1" applyAlignment="1">
      <alignment vertical="center"/>
    </xf>
    <xf numFmtId="0" fontId="0" fillId="0" borderId="41" xfId="0" applyBorder="1" applyAlignment="1">
      <alignment wrapText="1"/>
    </xf>
    <xf numFmtId="0" fontId="0" fillId="0" borderId="43" xfId="0" applyBorder="1"/>
    <xf numFmtId="0" fontId="0" fillId="0" borderId="43" xfId="0" applyBorder="1" applyAlignment="1">
      <alignment vertical="center"/>
    </xf>
    <xf numFmtId="0" fontId="0" fillId="0" borderId="43" xfId="0" applyBorder="1" applyAlignment="1">
      <alignment wrapText="1"/>
    </xf>
    <xf numFmtId="0" fontId="0" fillId="0" borderId="44" xfId="0" applyBorder="1" applyAlignment="1">
      <alignment wrapText="1"/>
    </xf>
    <xf numFmtId="0" fontId="0" fillId="0" borderId="59" xfId="0" applyBorder="1" applyAlignment="1">
      <alignment wrapText="1"/>
    </xf>
    <xf numFmtId="0" fontId="0" fillId="0" borderId="46" xfId="0" applyBorder="1"/>
    <xf numFmtId="0" fontId="0" fillId="0" borderId="46" xfId="0" applyBorder="1" applyAlignment="1">
      <alignment vertical="center"/>
    </xf>
    <xf numFmtId="0" fontId="0" fillId="0" borderId="46" xfId="0" applyBorder="1" applyAlignment="1">
      <alignment wrapText="1"/>
    </xf>
    <xf numFmtId="0" fontId="0" fillId="0" borderId="47" xfId="0" applyBorder="1" applyAlignment="1">
      <alignment wrapText="1"/>
    </xf>
    <xf numFmtId="0" fontId="5" fillId="3" borderId="61" xfId="0" applyFont="1" applyFill="1" applyBorder="1" applyAlignment="1">
      <alignment horizontal="center" vertical="center" wrapText="1"/>
    </xf>
    <xf numFmtId="0" fontId="5" fillId="0" borderId="61" xfId="0" applyFont="1" applyBorder="1" applyAlignment="1">
      <alignment horizontal="center" vertical="center" wrapText="1"/>
    </xf>
    <xf numFmtId="0" fontId="0" fillId="0" borderId="61" xfId="0" applyBorder="1"/>
    <xf numFmtId="0" fontId="0" fillId="0" borderId="61" xfId="0" applyBorder="1" applyAlignment="1">
      <alignment vertical="center"/>
    </xf>
    <xf numFmtId="0" fontId="0" fillId="0" borderId="61" xfId="0" applyBorder="1" applyAlignment="1">
      <alignment wrapText="1"/>
    </xf>
    <xf numFmtId="0" fontId="0" fillId="0" borderId="62" xfId="0" applyBorder="1" applyAlignment="1">
      <alignment wrapText="1"/>
    </xf>
    <xf numFmtId="0" fontId="2" fillId="0" borderId="55" xfId="0" applyFont="1" applyBorder="1" applyAlignment="1">
      <alignment horizontal="center" vertical="center" wrapText="1"/>
    </xf>
    <xf numFmtId="0" fontId="7" fillId="7" borderId="53" xfId="0" applyFont="1" applyFill="1" applyBorder="1" applyAlignment="1">
      <alignment horizontal="center" vertical="center" wrapText="1"/>
    </xf>
    <xf numFmtId="0" fontId="3" fillId="4" borderId="38" xfId="0" applyFont="1" applyFill="1" applyBorder="1" applyAlignment="1">
      <alignment horizontal="center" vertical="center" wrapText="1"/>
    </xf>
    <xf numFmtId="0" fontId="5" fillId="0" borderId="44"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55" xfId="0" applyFont="1" applyBorder="1" applyAlignment="1">
      <alignment horizontal="left" vertical="center" wrapText="1"/>
    </xf>
    <xf numFmtId="0" fontId="5" fillId="0" borderId="64" xfId="0" applyFont="1" applyBorder="1" applyAlignment="1">
      <alignment horizontal="center" vertical="center" wrapText="1"/>
    </xf>
    <xf numFmtId="0" fontId="2" fillId="0" borderId="61" xfId="0" applyFont="1" applyBorder="1" applyAlignment="1">
      <alignment horizontal="center" vertical="center" wrapText="1"/>
    </xf>
    <xf numFmtId="0" fontId="5" fillId="0" borderId="65" xfId="0" applyFont="1" applyBorder="1" applyAlignment="1">
      <alignment horizontal="center" vertical="center" wrapText="1"/>
    </xf>
    <xf numFmtId="0" fontId="5" fillId="0" borderId="65" xfId="0" applyFont="1" applyBorder="1" applyAlignment="1">
      <alignment horizontal="left" vertical="center" wrapText="1"/>
    </xf>
    <xf numFmtId="0" fontId="2" fillId="0" borderId="65" xfId="0" applyFont="1" applyBorder="1" applyAlignment="1">
      <alignment horizontal="center" vertical="center" wrapText="1"/>
    </xf>
    <xf numFmtId="0" fontId="2" fillId="0" borderId="66" xfId="0" applyFont="1" applyBorder="1" applyAlignment="1">
      <alignment horizontal="left" vertical="center" wrapText="1"/>
    </xf>
    <xf numFmtId="0" fontId="5" fillId="0" borderId="66" xfId="0" applyFont="1" applyBorder="1" applyAlignment="1">
      <alignment horizontal="center" vertical="center" wrapText="1"/>
    </xf>
    <xf numFmtId="0" fontId="2" fillId="0" borderId="43" xfId="0" applyFont="1" applyBorder="1" applyAlignment="1">
      <alignment horizontal="left" vertical="center" wrapText="1"/>
    </xf>
    <xf numFmtId="0" fontId="2" fillId="0" borderId="46" xfId="0" applyFont="1" applyBorder="1" applyAlignment="1">
      <alignment horizontal="left" vertical="center" wrapText="1"/>
    </xf>
    <xf numFmtId="0" fontId="0" fillId="0" borderId="63" xfId="0" applyBorder="1" applyAlignment="1">
      <alignment wrapText="1"/>
    </xf>
    <xf numFmtId="0" fontId="5" fillId="0" borderId="61" xfId="0" applyFont="1" applyBorder="1" applyAlignment="1">
      <alignment horizontal="left" vertical="center" wrapText="1"/>
    </xf>
    <xf numFmtId="0" fontId="2" fillId="0" borderId="62" xfId="0" applyFont="1" applyBorder="1" applyAlignment="1">
      <alignment horizontal="left" vertical="center" wrapText="1"/>
    </xf>
    <xf numFmtId="0" fontId="5" fillId="0" borderId="62" xfId="0" applyFont="1" applyBorder="1" applyAlignment="1">
      <alignment horizontal="center" vertical="center" wrapText="1"/>
    </xf>
    <xf numFmtId="0" fontId="2" fillId="0" borderId="3" xfId="0" applyFont="1" applyBorder="1" applyAlignment="1">
      <alignment horizontal="left" vertical="center" wrapText="1"/>
    </xf>
    <xf numFmtId="0" fontId="2" fillId="0" borderId="61" xfId="0" applyFont="1" applyBorder="1" applyAlignment="1">
      <alignment horizontal="left" vertical="center" wrapText="1"/>
    </xf>
    <xf numFmtId="0" fontId="5" fillId="0" borderId="26" xfId="0" applyFont="1" applyBorder="1" applyAlignment="1">
      <alignment horizontal="center" vertical="center" wrapText="1"/>
    </xf>
    <xf numFmtId="0" fontId="3" fillId="0" borderId="15" xfId="0" applyFont="1" applyBorder="1" applyAlignment="1">
      <alignment horizontal="center" vertical="center" wrapText="1"/>
    </xf>
    <xf numFmtId="0" fontId="0" fillId="0" borderId="59" xfId="0" applyBorder="1"/>
    <xf numFmtId="0" fontId="7" fillId="7" borderId="51" xfId="0" applyFont="1" applyFill="1" applyBorder="1" applyAlignment="1">
      <alignment horizontal="center" vertical="center" wrapText="1"/>
    </xf>
    <xf numFmtId="0" fontId="5" fillId="0" borderId="67" xfId="0" applyFont="1" applyBorder="1" applyAlignment="1">
      <alignment horizontal="center" vertical="center" wrapText="1"/>
    </xf>
    <xf numFmtId="0" fontId="5" fillId="0" borderId="59" xfId="0" applyFont="1" applyBorder="1" applyAlignment="1">
      <alignment horizontal="center" vertical="center" wrapText="1"/>
    </xf>
    <xf numFmtId="0" fontId="5" fillId="0" borderId="3" xfId="0" applyFont="1" applyBorder="1" applyAlignment="1">
      <alignment horizontal="left" vertical="center" wrapText="1"/>
    </xf>
    <xf numFmtId="0" fontId="0" fillId="0" borderId="62" xfId="0" applyBorder="1"/>
    <xf numFmtId="0" fontId="0" fillId="0" borderId="44" xfId="0" applyBorder="1"/>
    <xf numFmtId="0" fontId="2" fillId="0" borderId="49" xfId="0" applyFont="1" applyBorder="1" applyAlignment="1">
      <alignment horizontal="center" wrapText="1"/>
    </xf>
    <xf numFmtId="0" fontId="0" fillId="6" borderId="1" xfId="0" applyFill="1" applyBorder="1" applyAlignment="1">
      <alignment vertical="top" wrapText="1"/>
    </xf>
    <xf numFmtId="0" fontId="0" fillId="6" borderId="1" xfId="0" applyFill="1" applyBorder="1" applyAlignment="1">
      <alignment vertical="top"/>
    </xf>
    <xf numFmtId="0" fontId="8" fillId="6" borderId="1" xfId="0" applyFont="1" applyFill="1" applyBorder="1" applyAlignment="1">
      <alignment vertical="top" wrapText="1"/>
    </xf>
    <xf numFmtId="0" fontId="0" fillId="8" borderId="1" xfId="0" applyFill="1" applyBorder="1" applyAlignment="1">
      <alignment vertical="top"/>
    </xf>
    <xf numFmtId="0" fontId="0" fillId="8" borderId="1" xfId="0" applyFill="1" applyBorder="1" applyAlignment="1">
      <alignment vertical="top" wrapText="1"/>
    </xf>
    <xf numFmtId="0" fontId="0" fillId="8" borderId="1" xfId="0" applyFill="1" applyBorder="1"/>
    <xf numFmtId="0" fontId="2" fillId="0" borderId="56" xfId="0" applyFont="1" applyBorder="1" applyAlignment="1">
      <alignment horizontal="center" vertical="center" wrapText="1"/>
    </xf>
    <xf numFmtId="0" fontId="7" fillId="4" borderId="51" xfId="0" applyFont="1" applyFill="1" applyBorder="1" applyAlignment="1">
      <alignment horizontal="center" vertical="center" wrapText="1"/>
    </xf>
    <xf numFmtId="0" fontId="3" fillId="3" borderId="11" xfId="0" applyFont="1" applyFill="1" applyBorder="1" applyAlignment="1">
      <alignment vertical="center" wrapText="1"/>
    </xf>
    <xf numFmtId="0" fontId="0" fillId="0" borderId="37" xfId="0" applyBorder="1"/>
    <xf numFmtId="0" fontId="2" fillId="0" borderId="43" xfId="0" applyFont="1" applyBorder="1" applyAlignment="1">
      <alignment horizontal="center" wrapText="1"/>
    </xf>
    <xf numFmtId="0" fontId="2" fillId="0" borderId="46" xfId="0" applyFont="1" applyBorder="1" applyAlignment="1">
      <alignment horizontal="center" wrapText="1"/>
    </xf>
    <xf numFmtId="0" fontId="3" fillId="0" borderId="12" xfId="0" applyFont="1" applyBorder="1" applyAlignment="1">
      <alignment vertical="center" wrapText="1"/>
    </xf>
    <xf numFmtId="0" fontId="3" fillId="0" borderId="10" xfId="0" applyFont="1" applyBorder="1" applyAlignment="1">
      <alignment vertical="center" wrapText="1"/>
    </xf>
    <xf numFmtId="0" fontId="11" fillId="0" borderId="43" xfId="0" applyFont="1" applyBorder="1" applyAlignment="1">
      <alignment horizontal="center" vertical="center" wrapText="1"/>
    </xf>
    <xf numFmtId="0" fontId="11" fillId="0" borderId="46" xfId="0" applyFont="1" applyBorder="1" applyAlignment="1">
      <alignment horizontal="center" vertical="center" wrapText="1"/>
    </xf>
    <xf numFmtId="0" fontId="3" fillId="0" borderId="11" xfId="0" applyFont="1" applyBorder="1" applyAlignment="1">
      <alignment vertical="center" wrapText="1"/>
    </xf>
    <xf numFmtId="0" fontId="7" fillId="7" borderId="54" xfId="0" applyFont="1" applyFill="1" applyBorder="1" applyAlignment="1">
      <alignment horizontal="center" vertical="center" wrapText="1"/>
    </xf>
    <xf numFmtId="0" fontId="2" fillId="0" borderId="56" xfId="0" applyFont="1" applyBorder="1" applyAlignment="1">
      <alignment horizontal="center" wrapText="1"/>
    </xf>
    <xf numFmtId="0" fontId="2" fillId="0" borderId="41" xfId="0" applyFont="1" applyBorder="1" applyAlignment="1">
      <alignment horizontal="center" vertical="top" wrapText="1"/>
    </xf>
    <xf numFmtId="0" fontId="2" fillId="0" borderId="41" xfId="0" applyFont="1" applyBorder="1" applyAlignment="1">
      <alignment horizontal="center" wrapText="1"/>
    </xf>
    <xf numFmtId="0" fontId="2" fillId="0" borderId="43" xfId="0" applyFont="1" applyBorder="1" applyAlignment="1">
      <alignment horizontal="center" vertical="top" wrapText="1"/>
    </xf>
    <xf numFmtId="0" fontId="0" fillId="0" borderId="65" xfId="0" applyBorder="1"/>
    <xf numFmtId="0" fontId="2" fillId="0" borderId="65" xfId="0" applyFont="1" applyBorder="1" applyAlignment="1">
      <alignment horizontal="center" wrapText="1"/>
    </xf>
    <xf numFmtId="0" fontId="0" fillId="0" borderId="66" xfId="0" applyBorder="1" applyAlignment="1">
      <alignment wrapText="1"/>
    </xf>
    <xf numFmtId="0" fontId="5" fillId="0" borderId="49" xfId="0" applyFont="1" applyBorder="1" applyAlignment="1">
      <alignment horizontal="left" vertical="center" wrapText="1"/>
    </xf>
    <xf numFmtId="0" fontId="0" fillId="0" borderId="43" xfId="0" applyBorder="1" applyAlignment="1">
      <alignment vertical="center" wrapText="1"/>
    </xf>
    <xf numFmtId="0" fontId="0" fillId="0" borderId="46" xfId="0" applyBorder="1" applyAlignment="1">
      <alignment vertical="center" wrapText="1"/>
    </xf>
    <xf numFmtId="0" fontId="0" fillId="0" borderId="68" xfId="0" applyBorder="1"/>
    <xf numFmtId="0" fontId="3" fillId="4" borderId="54" xfId="0" applyFont="1" applyFill="1" applyBorder="1" applyAlignment="1">
      <alignment horizontal="center" vertical="center" wrapText="1"/>
    </xf>
    <xf numFmtId="0" fontId="0" fillId="0" borderId="47" xfId="0" applyBorder="1"/>
    <xf numFmtId="0" fontId="2" fillId="0" borderId="61" xfId="0" applyFont="1" applyBorder="1" applyAlignment="1">
      <alignment horizontal="center" vertical="top" wrapText="1"/>
    </xf>
    <xf numFmtId="0" fontId="3" fillId="4" borderId="48" xfId="0" applyFont="1" applyFill="1" applyBorder="1" applyAlignment="1">
      <alignment horizontal="center" vertical="center" wrapText="1"/>
    </xf>
    <xf numFmtId="0" fontId="5" fillId="0" borderId="49" xfId="0" applyFont="1" applyBorder="1" applyAlignment="1">
      <alignment horizontal="center" vertical="center" wrapText="1"/>
    </xf>
    <xf numFmtId="0" fontId="2" fillId="0" borderId="49" xfId="0" applyFont="1" applyBorder="1" applyAlignment="1">
      <alignment horizontal="left" vertical="center" wrapText="1"/>
    </xf>
    <xf numFmtId="0" fontId="5" fillId="0" borderId="50" xfId="0" applyFont="1" applyBorder="1" applyAlignment="1">
      <alignment horizontal="center" vertical="center" wrapText="1"/>
    </xf>
    <xf numFmtId="0" fontId="3" fillId="4" borderId="52" xfId="0" applyFont="1" applyFill="1" applyBorder="1" applyAlignment="1">
      <alignment horizontal="center" vertical="center" wrapText="1"/>
    </xf>
    <xf numFmtId="0" fontId="2" fillId="0" borderId="55" xfId="0" applyFont="1" applyBorder="1" applyAlignment="1">
      <alignment horizontal="center" wrapText="1"/>
    </xf>
    <xf numFmtId="0" fontId="2" fillId="0" borderId="55" xfId="0" applyFont="1" applyBorder="1" applyAlignment="1">
      <alignment horizontal="left" vertical="center" wrapText="1"/>
    </xf>
    <xf numFmtId="0" fontId="5" fillId="0" borderId="70"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32" xfId="0" applyFont="1" applyBorder="1" applyAlignment="1">
      <alignment vertical="center" wrapText="1"/>
    </xf>
    <xf numFmtId="0" fontId="0" fillId="10" borderId="0" xfId="0" applyFill="1"/>
    <xf numFmtId="0" fontId="3" fillId="0" borderId="11" xfId="0" applyFont="1" applyBorder="1" applyAlignment="1">
      <alignment horizontal="center" vertical="center" wrapText="1"/>
    </xf>
    <xf numFmtId="0" fontId="2" fillId="0" borderId="6" xfId="0" applyFont="1" applyBorder="1" applyAlignment="1">
      <alignment horizontal="left" vertical="center" wrapText="1"/>
    </xf>
    <xf numFmtId="0" fontId="11" fillId="0" borderId="61" xfId="0" applyFont="1" applyBorder="1" applyAlignment="1">
      <alignment horizontal="center" wrapText="1"/>
    </xf>
    <xf numFmtId="0" fontId="2" fillId="0" borderId="61" xfId="0" applyFont="1" applyBorder="1" applyAlignment="1">
      <alignment horizontal="center" wrapText="1"/>
    </xf>
    <xf numFmtId="0" fontId="7" fillId="6" borderId="48" xfId="0" applyFont="1" applyFill="1" applyBorder="1" applyAlignment="1">
      <alignment horizontal="center" vertical="center" wrapText="1"/>
    </xf>
    <xf numFmtId="0" fontId="2" fillId="0" borderId="16" xfId="0" applyFont="1" applyBorder="1" applyAlignment="1">
      <alignment horizontal="center" wrapText="1"/>
    </xf>
    <xf numFmtId="0" fontId="0" fillId="0" borderId="50" xfId="0" applyBorder="1" applyAlignment="1">
      <alignment wrapText="1"/>
    </xf>
    <xf numFmtId="0" fontId="2" fillId="0" borderId="36" xfId="0" applyFont="1" applyBorder="1" applyAlignment="1">
      <alignment horizontal="center" vertical="center" wrapText="1"/>
    </xf>
    <xf numFmtId="0" fontId="2" fillId="0" borderId="71" xfId="0" applyFont="1" applyBorder="1" applyAlignment="1">
      <alignment horizontal="center" vertical="center" wrapText="1"/>
    </xf>
    <xf numFmtId="0" fontId="0" fillId="0" borderId="71" xfId="0" applyBorder="1" applyAlignment="1">
      <alignment horizontal="left" wrapText="1"/>
    </xf>
    <xf numFmtId="0" fontId="2" fillId="0" borderId="26" xfId="0" applyFont="1" applyBorder="1" applyAlignment="1">
      <alignment horizontal="center" vertical="center" wrapText="1"/>
    </xf>
    <xf numFmtId="0" fontId="2" fillId="0" borderId="72" xfId="0" applyFont="1" applyBorder="1" applyAlignment="1">
      <alignment horizontal="center" vertical="center" wrapText="1"/>
    </xf>
    <xf numFmtId="0" fontId="2" fillId="0" borderId="71" xfId="0" applyFont="1" applyBorder="1" applyAlignment="1">
      <alignment horizontal="center" wrapText="1"/>
    </xf>
    <xf numFmtId="0" fontId="2" fillId="0" borderId="26" xfId="0" applyFont="1" applyBorder="1" applyAlignment="1">
      <alignment horizontal="center" wrapText="1"/>
    </xf>
    <xf numFmtId="0" fontId="0" fillId="0" borderId="49" xfId="0" applyBorder="1" applyAlignment="1">
      <alignment vertical="center"/>
    </xf>
    <xf numFmtId="0" fontId="0" fillId="0" borderId="50" xfId="0" applyBorder="1" applyAlignment="1">
      <alignment vertical="center" wrapText="1"/>
    </xf>
    <xf numFmtId="0" fontId="2" fillId="0" borderId="73" xfId="0" applyFont="1" applyBorder="1" applyAlignment="1">
      <alignment horizontal="center" vertical="center" wrapText="1"/>
    </xf>
    <xf numFmtId="0" fontId="3" fillId="0" borderId="0" xfId="0" applyFont="1" applyAlignment="1">
      <alignment vertical="center" wrapText="1"/>
    </xf>
    <xf numFmtId="0" fontId="0" fillId="0" borderId="41" xfId="0" applyBorder="1" applyAlignment="1">
      <alignment horizontal="left" wrapText="1"/>
    </xf>
    <xf numFmtId="0" fontId="0" fillId="0" borderId="43" xfId="0" applyBorder="1" applyAlignment="1">
      <alignment horizontal="left" wrapText="1"/>
    </xf>
    <xf numFmtId="0" fontId="2" fillId="0" borderId="44" xfId="0" applyFont="1" applyBorder="1" applyAlignment="1">
      <alignment horizontal="center" wrapText="1"/>
    </xf>
    <xf numFmtId="0" fontId="0" fillId="0" borderId="46" xfId="0" applyBorder="1" applyAlignment="1">
      <alignment horizontal="left" wrapText="1"/>
    </xf>
    <xf numFmtId="0" fontId="2" fillId="0" borderId="47" xfId="0" applyFont="1" applyBorder="1" applyAlignment="1">
      <alignment horizontal="center" wrapText="1"/>
    </xf>
    <xf numFmtId="0" fontId="2" fillId="0" borderId="68" xfId="0" applyFont="1" applyBorder="1" applyAlignment="1">
      <alignment horizontal="left" vertical="center" wrapText="1"/>
    </xf>
    <xf numFmtId="0" fontId="7" fillId="7" borderId="74" xfId="0" applyFont="1" applyFill="1" applyBorder="1" applyAlignment="1">
      <alignment vertical="center" wrapText="1"/>
    </xf>
    <xf numFmtId="0" fontId="2" fillId="5" borderId="75" xfId="0" applyFont="1" applyFill="1" applyBorder="1" applyAlignment="1">
      <alignment horizontal="left" vertical="center" wrapText="1"/>
    </xf>
    <xf numFmtId="0" fontId="3" fillId="6" borderId="39" xfId="0" applyFont="1" applyFill="1" applyBorder="1" applyAlignment="1">
      <alignment horizontal="center" vertical="center" wrapText="1"/>
    </xf>
    <xf numFmtId="0" fontId="0" fillId="0" borderId="28" xfId="0" applyBorder="1" applyAlignment="1">
      <alignment horizontal="center" vertical="center" wrapText="1"/>
    </xf>
    <xf numFmtId="0" fontId="0" fillId="0" borderId="28" xfId="0" applyBorder="1" applyAlignment="1">
      <alignment horizontal="center" wrapText="1"/>
    </xf>
    <xf numFmtId="0" fontId="0" fillId="0" borderId="40" xfId="0" applyBorder="1" applyAlignment="1">
      <alignment horizontal="left" wrapText="1"/>
    </xf>
    <xf numFmtId="0" fontId="5" fillId="3" borderId="56" xfId="0" applyFont="1" applyFill="1" applyBorder="1" applyAlignment="1">
      <alignment horizontal="center" vertical="center" wrapText="1"/>
    </xf>
    <xf numFmtId="0" fontId="5" fillId="0" borderId="56" xfId="0" applyFont="1" applyBorder="1" applyAlignment="1">
      <alignment horizontal="left" vertical="center" wrapText="1"/>
    </xf>
    <xf numFmtId="0" fontId="5" fillId="3" borderId="48" xfId="0" applyFont="1" applyFill="1" applyBorder="1" applyAlignment="1">
      <alignment horizontal="center" vertical="center" wrapText="1"/>
    </xf>
    <xf numFmtId="0" fontId="2" fillId="0" borderId="50" xfId="0" applyFont="1" applyBorder="1" applyAlignment="1">
      <alignment horizontal="center" vertical="center" wrapText="1"/>
    </xf>
    <xf numFmtId="0" fontId="3" fillId="6" borderId="48" xfId="0" applyFont="1" applyFill="1" applyBorder="1" applyAlignment="1">
      <alignment horizontal="center" vertical="center" wrapText="1"/>
    </xf>
    <xf numFmtId="0" fontId="0" fillId="0" borderId="49" xfId="0" applyBorder="1" applyAlignment="1">
      <alignment wrapText="1"/>
    </xf>
    <xf numFmtId="0" fontId="0" fillId="0" borderId="49" xfId="0" applyBorder="1" applyAlignment="1">
      <alignment vertical="center" wrapText="1"/>
    </xf>
    <xf numFmtId="0" fontId="3" fillId="0" borderId="76" xfId="0" applyFont="1" applyBorder="1" applyAlignment="1">
      <alignment vertical="center" wrapText="1"/>
    </xf>
    <xf numFmtId="0" fontId="5" fillId="0" borderId="78" xfId="0" applyFont="1" applyBorder="1" applyAlignment="1">
      <alignment horizontal="center" vertical="center" wrapText="1"/>
    </xf>
    <xf numFmtId="0" fontId="2" fillId="0" borderId="31" xfId="0" applyFont="1" applyBorder="1" applyAlignment="1">
      <alignment horizontal="left" vertical="center" wrapText="1"/>
    </xf>
    <xf numFmtId="0" fontId="5" fillId="0" borderId="40"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79" xfId="0" applyFont="1" applyBorder="1" applyAlignment="1">
      <alignment horizontal="center" vertical="center" wrapText="1"/>
    </xf>
    <xf numFmtId="0" fontId="2" fillId="0" borderId="18" xfId="0" applyFont="1" applyBorder="1" applyAlignment="1">
      <alignment horizontal="center" wrapText="1"/>
    </xf>
    <xf numFmtId="0" fontId="2" fillId="0" borderId="32" xfId="0" applyFont="1" applyBorder="1" applyAlignment="1">
      <alignment horizontal="center" wrapText="1"/>
    </xf>
    <xf numFmtId="0" fontId="2" fillId="0" borderId="19" xfId="0" applyFont="1" applyBorder="1" applyAlignment="1">
      <alignment horizontal="center" wrapText="1"/>
    </xf>
    <xf numFmtId="0" fontId="2" fillId="0" borderId="80" xfId="0" applyFont="1" applyBorder="1" applyAlignment="1">
      <alignment horizontal="center" vertical="center" wrapText="1"/>
    </xf>
    <xf numFmtId="0" fontId="2" fillId="0" borderId="20" xfId="0" applyFont="1" applyBorder="1" applyAlignment="1">
      <alignment horizontal="center" wrapText="1"/>
    </xf>
    <xf numFmtId="0" fontId="0" fillId="0" borderId="72" xfId="0" applyBorder="1" applyAlignment="1">
      <alignment horizontal="left" wrapText="1"/>
    </xf>
    <xf numFmtId="0" fontId="2" fillId="0" borderId="81" xfId="0" applyFont="1" applyBorder="1" applyAlignment="1">
      <alignment horizontal="center" vertical="center" wrapText="1"/>
    </xf>
    <xf numFmtId="0" fontId="2" fillId="0" borderId="82" xfId="0" applyFont="1" applyBorder="1" applyAlignment="1">
      <alignment horizontal="center" wrapText="1"/>
    </xf>
    <xf numFmtId="0" fontId="7" fillId="7" borderId="48" xfId="0" applyFont="1" applyFill="1" applyBorder="1" applyAlignment="1">
      <alignment horizontal="center" vertical="center" wrapText="1"/>
    </xf>
    <xf numFmtId="0" fontId="2" fillId="0" borderId="48" xfId="0" applyFont="1" applyBorder="1" applyAlignment="1">
      <alignment horizontal="center" vertical="center" wrapText="1"/>
    </xf>
    <xf numFmtId="0" fontId="0" fillId="0" borderId="49" xfId="0" applyBorder="1" applyAlignment="1">
      <alignment horizontal="left" wrapText="1"/>
    </xf>
    <xf numFmtId="0" fontId="2" fillId="0" borderId="50" xfId="0" applyFont="1" applyBorder="1" applyAlignment="1">
      <alignment horizontal="center" wrapText="1"/>
    </xf>
    <xf numFmtId="0" fontId="2" fillId="0" borderId="27" xfId="0" applyFont="1" applyBorder="1" applyAlignment="1">
      <alignment horizontal="center" wrapText="1"/>
    </xf>
    <xf numFmtId="0" fontId="0" fillId="0" borderId="64" xfId="0" applyBorder="1" applyAlignment="1">
      <alignment wrapText="1"/>
    </xf>
    <xf numFmtId="0" fontId="2" fillId="0" borderId="38"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9" xfId="0" applyFont="1" applyBorder="1" applyAlignment="1">
      <alignment horizontal="center" vertical="center" wrapText="1"/>
    </xf>
    <xf numFmtId="0" fontId="0" fillId="0" borderId="72" xfId="0" applyBorder="1" applyAlignment="1">
      <alignment horizontal="left" vertical="center" wrapText="1"/>
    </xf>
    <xf numFmtId="0" fontId="2" fillId="0" borderId="40" xfId="0" applyFont="1" applyBorder="1" applyAlignment="1">
      <alignment horizontal="center" vertical="center" wrapText="1"/>
    </xf>
    <xf numFmtId="0" fontId="0" fillId="0" borderId="83" xfId="0" applyBorder="1" applyAlignment="1">
      <alignment vertical="center" wrapText="1"/>
    </xf>
    <xf numFmtId="0" fontId="2" fillId="0" borderId="84" xfId="0" applyFont="1" applyBorder="1" applyAlignment="1">
      <alignment horizontal="center" vertical="center" wrapText="1"/>
    </xf>
    <xf numFmtId="0" fontId="0" fillId="0" borderId="41" xfId="0" applyBorder="1" applyAlignment="1">
      <alignment vertical="center" wrapText="1"/>
    </xf>
    <xf numFmtId="0" fontId="2" fillId="0" borderId="44"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4" xfId="0" applyFont="1" applyBorder="1" applyAlignment="1">
      <alignment horizontal="center" wrapText="1"/>
    </xf>
    <xf numFmtId="0" fontId="2" fillId="0" borderId="65" xfId="0" applyFont="1" applyBorder="1" applyAlignment="1">
      <alignment horizontal="left" vertical="center" wrapText="1"/>
    </xf>
    <xf numFmtId="0" fontId="0" fillId="0" borderId="65" xfId="0" applyBorder="1" applyAlignment="1">
      <alignment horizontal="left" wrapText="1"/>
    </xf>
    <xf numFmtId="0" fontId="2" fillId="0" borderId="66" xfId="0" applyFont="1" applyBorder="1" applyAlignment="1">
      <alignment horizontal="center" wrapText="1"/>
    </xf>
    <xf numFmtId="0" fontId="5" fillId="0" borderId="68" xfId="0" applyFont="1" applyBorder="1" applyAlignment="1">
      <alignment horizontal="center" vertical="center" wrapText="1"/>
    </xf>
    <xf numFmtId="0" fontId="2" fillId="0" borderId="37" xfId="0" applyFont="1" applyBorder="1" applyAlignment="1">
      <alignment horizontal="center" wrapText="1"/>
    </xf>
    <xf numFmtId="0" fontId="2" fillId="0" borderId="34" xfId="0" applyFont="1" applyBorder="1" applyAlignment="1">
      <alignment horizontal="center" wrapText="1"/>
    </xf>
    <xf numFmtId="0" fontId="2" fillId="0" borderId="76" xfId="0" applyFont="1" applyBorder="1" applyAlignment="1">
      <alignment horizontal="center" vertical="center" wrapText="1"/>
    </xf>
    <xf numFmtId="0" fontId="3" fillId="0" borderId="77" xfId="0" applyFont="1" applyBorder="1" applyAlignment="1">
      <alignment vertical="center" wrapText="1"/>
    </xf>
    <xf numFmtId="0" fontId="2" fillId="0" borderId="85" xfId="0" applyFont="1" applyBorder="1" applyAlignment="1">
      <alignment horizontal="center" vertical="center" wrapText="1"/>
    </xf>
    <xf numFmtId="0" fontId="2" fillId="0" borderId="30" xfId="0" applyFont="1" applyBorder="1" applyAlignment="1">
      <alignment horizontal="center" wrapText="1"/>
    </xf>
    <xf numFmtId="0" fontId="0" fillId="0" borderId="37" xfId="0" applyBorder="1" applyAlignment="1">
      <alignment vertical="center"/>
    </xf>
    <xf numFmtId="0" fontId="0" fillId="0" borderId="37" xfId="0" applyBorder="1" applyAlignment="1">
      <alignment wrapText="1"/>
    </xf>
    <xf numFmtId="0" fontId="0" fillId="0" borderId="68" xfId="0" applyBorder="1" applyAlignment="1">
      <alignment wrapText="1"/>
    </xf>
    <xf numFmtId="0" fontId="2" fillId="0" borderId="17" xfId="0" applyFont="1" applyBorder="1" applyAlignment="1">
      <alignment horizontal="left" vertical="center" wrapText="1"/>
    </xf>
    <xf numFmtId="0" fontId="2" fillId="0" borderId="3" xfId="0" applyFont="1" applyBorder="1" applyAlignment="1">
      <alignment vertical="center" wrapText="1"/>
    </xf>
    <xf numFmtId="0" fontId="2" fillId="0" borderId="16" xfId="0" applyFont="1" applyBorder="1" applyAlignment="1">
      <alignment vertical="center" wrapText="1"/>
    </xf>
    <xf numFmtId="0" fontId="3" fillId="0" borderId="73" xfId="0" applyFont="1" applyBorder="1" applyAlignment="1">
      <alignment horizontal="center" vertical="center" wrapText="1"/>
    </xf>
    <xf numFmtId="0" fontId="3" fillId="11" borderId="53" xfId="0" applyFont="1" applyFill="1" applyBorder="1" applyAlignment="1">
      <alignment horizontal="center" vertical="center" wrapText="1"/>
    </xf>
    <xf numFmtId="0" fontId="0" fillId="0" borderId="63" xfId="0" applyBorder="1"/>
    <xf numFmtId="0" fontId="2" fillId="11" borderId="2" xfId="0" applyFont="1" applyFill="1" applyBorder="1" applyAlignment="1">
      <alignment horizontal="center" vertical="center" wrapText="1"/>
    </xf>
    <xf numFmtId="0" fontId="2" fillId="4" borderId="48" xfId="0" applyFont="1" applyFill="1" applyBorder="1" applyAlignment="1">
      <alignment horizontal="center" vertical="center" wrapText="1"/>
    </xf>
    <xf numFmtId="0" fontId="0" fillId="0" borderId="55" xfId="0" applyBorder="1" applyAlignment="1">
      <alignment vertical="center" wrapText="1"/>
    </xf>
    <xf numFmtId="0" fontId="2" fillId="0" borderId="52" xfId="0" applyFont="1" applyBorder="1" applyAlignment="1">
      <alignment horizontal="center" vertical="center" wrapText="1"/>
    </xf>
    <xf numFmtId="0" fontId="0" fillId="0" borderId="55" xfId="0" applyBorder="1" applyAlignment="1">
      <alignment horizontal="left" wrapText="1"/>
    </xf>
    <xf numFmtId="0" fontId="2" fillId="0" borderId="64" xfId="0" applyFont="1" applyBorder="1" applyAlignment="1">
      <alignment horizontal="center" vertical="center" wrapText="1"/>
    </xf>
    <xf numFmtId="0" fontId="0" fillId="0" borderId="88" xfId="0" applyBorder="1" applyAlignment="1">
      <alignment wrapText="1"/>
    </xf>
    <xf numFmtId="0" fontId="0" fillId="0" borderId="64" xfId="0" applyBorder="1"/>
    <xf numFmtId="0" fontId="2" fillId="0" borderId="65" xfId="0" applyFont="1" applyBorder="1" applyAlignment="1">
      <alignment horizontal="center" vertical="top" wrapText="1"/>
    </xf>
    <xf numFmtId="0" fontId="2" fillId="0" borderId="88" xfId="0" applyFont="1" applyBorder="1" applyAlignment="1">
      <alignment horizontal="left" vertical="center" wrapText="1"/>
    </xf>
    <xf numFmtId="0" fontId="3" fillId="4" borderId="53" xfId="0" applyFont="1" applyFill="1" applyBorder="1" applyAlignment="1">
      <alignment horizontal="center" vertical="center" wrapText="1"/>
    </xf>
    <xf numFmtId="0" fontId="2" fillId="4" borderId="52" xfId="0" applyFont="1" applyFill="1" applyBorder="1" applyAlignment="1">
      <alignment horizontal="center" vertical="center" wrapText="1"/>
    </xf>
    <xf numFmtId="0" fontId="13" fillId="0" borderId="43" xfId="1" applyBorder="1" applyAlignment="1">
      <alignment wrapText="1"/>
    </xf>
    <xf numFmtId="0" fontId="7" fillId="0" borderId="6" xfId="0" applyFont="1" applyBorder="1" applyAlignment="1">
      <alignment horizontal="center" vertical="center" wrapText="1"/>
    </xf>
    <xf numFmtId="0" fontId="5" fillId="0" borderId="41" xfId="0" applyFont="1" applyBorder="1" applyAlignment="1">
      <alignment horizontal="center" wrapText="1"/>
    </xf>
    <xf numFmtId="0" fontId="5" fillId="0" borderId="43" xfId="0" applyFont="1" applyBorder="1" applyAlignment="1">
      <alignment horizontal="center" wrapText="1"/>
    </xf>
    <xf numFmtId="0" fontId="5" fillId="0" borderId="49" xfId="0" applyFont="1" applyBorder="1" applyAlignment="1">
      <alignment horizontal="center" wrapText="1"/>
    </xf>
    <xf numFmtId="0" fontId="0" fillId="0" borderId="50" xfId="0" applyBorder="1" applyAlignment="1">
      <alignment vertical="center"/>
    </xf>
    <xf numFmtId="0" fontId="0" fillId="0" borderId="0" xfId="0" applyAlignment="1">
      <alignment vertical="center"/>
    </xf>
    <xf numFmtId="0" fontId="13" fillId="0" borderId="49" xfId="1" applyBorder="1" applyAlignment="1">
      <alignment vertical="center" wrapText="1"/>
    </xf>
    <xf numFmtId="0" fontId="7" fillId="4" borderId="48" xfId="0" applyFont="1" applyFill="1" applyBorder="1" applyAlignment="1">
      <alignment horizontal="center" vertical="center" wrapText="1"/>
    </xf>
    <xf numFmtId="0" fontId="0" fillId="0" borderId="55" xfId="0" applyBorder="1" applyAlignment="1">
      <alignment vertical="center"/>
    </xf>
    <xf numFmtId="0" fontId="2" fillId="9" borderId="46" xfId="0" applyFont="1" applyFill="1" applyBorder="1" applyAlignment="1">
      <alignment horizontal="center" vertical="center" wrapText="1"/>
    </xf>
    <xf numFmtId="0" fontId="0" fillId="6" borderId="1" xfId="0" applyFill="1" applyBorder="1"/>
    <xf numFmtId="0" fontId="9" fillId="6" borderId="3" xfId="0" applyFont="1" applyFill="1" applyBorder="1" applyAlignment="1">
      <alignment vertical="top"/>
    </xf>
    <xf numFmtId="0" fontId="0" fillId="6" borderId="3" xfId="0" applyFill="1" applyBorder="1" applyAlignment="1">
      <alignment vertical="top"/>
    </xf>
    <xf numFmtId="0" fontId="9" fillId="6" borderId="3" xfId="0" applyFont="1" applyFill="1" applyBorder="1" applyAlignment="1">
      <alignment vertical="top" wrapText="1"/>
    </xf>
    <xf numFmtId="0" fontId="0" fillId="6" borderId="3" xfId="0" applyFill="1" applyBorder="1" applyAlignment="1">
      <alignment vertical="top" wrapText="1"/>
    </xf>
    <xf numFmtId="14" fontId="3" fillId="2" borderId="16" xfId="0" applyNumberFormat="1" applyFont="1" applyFill="1" applyBorder="1" applyAlignment="1">
      <alignment horizontal="center" vertical="center" wrapText="1"/>
    </xf>
    <xf numFmtId="14" fontId="5" fillId="0" borderId="43" xfId="0" applyNumberFormat="1" applyFont="1" applyBorder="1" applyAlignment="1">
      <alignment horizontal="center" vertical="center" wrapText="1"/>
    </xf>
    <xf numFmtId="14" fontId="5" fillId="0" borderId="46" xfId="0" applyNumberFormat="1" applyFont="1" applyBorder="1" applyAlignment="1">
      <alignment horizontal="center" vertical="center" wrapText="1"/>
    </xf>
    <xf numFmtId="14" fontId="2" fillId="0" borderId="43" xfId="0" applyNumberFormat="1" applyFont="1" applyBorder="1" applyAlignment="1">
      <alignment horizontal="center" wrapText="1"/>
    </xf>
    <xf numFmtId="14" fontId="2" fillId="0" borderId="61" xfId="0" applyNumberFormat="1" applyFont="1" applyBorder="1" applyAlignment="1">
      <alignment horizontal="center" wrapText="1"/>
    </xf>
    <xf numFmtId="14" fontId="2" fillId="0" borderId="49" xfId="0" applyNumberFormat="1" applyFont="1" applyBorder="1" applyAlignment="1">
      <alignment horizontal="center" vertical="center" wrapText="1"/>
    </xf>
    <xf numFmtId="14" fontId="0" fillId="0" borderId="28" xfId="0" applyNumberFormat="1" applyBorder="1" applyAlignment="1">
      <alignment horizontal="center" vertical="center" wrapText="1"/>
    </xf>
    <xf numFmtId="14" fontId="5" fillId="0" borderId="55" xfId="0" applyNumberFormat="1" applyFont="1" applyBorder="1" applyAlignment="1">
      <alignment horizontal="center" vertical="center" wrapText="1"/>
    </xf>
    <xf numFmtId="14" fontId="5" fillId="0" borderId="41" xfId="0" applyNumberFormat="1" applyFont="1" applyBorder="1" applyAlignment="1">
      <alignment horizontal="center" vertical="center" wrapText="1"/>
    </xf>
    <xf numFmtId="14" fontId="5" fillId="0" borderId="61" xfId="0" applyNumberFormat="1" applyFont="1" applyBorder="1" applyAlignment="1">
      <alignment horizontal="center" vertical="center" wrapText="1"/>
    </xf>
    <xf numFmtId="14" fontId="5" fillId="0" borderId="37" xfId="0" applyNumberFormat="1" applyFont="1" applyBorder="1" applyAlignment="1">
      <alignment horizontal="center" vertical="center" wrapText="1"/>
    </xf>
    <xf numFmtId="14" fontId="5" fillId="0" borderId="65" xfId="0" applyNumberFormat="1" applyFont="1" applyBorder="1" applyAlignment="1">
      <alignment horizontal="center" vertical="center" wrapText="1"/>
    </xf>
    <xf numFmtId="14" fontId="2" fillId="0" borderId="27" xfId="0" applyNumberFormat="1" applyFont="1" applyBorder="1" applyAlignment="1">
      <alignment horizontal="center" wrapText="1"/>
    </xf>
    <xf numFmtId="14" fontId="2" fillId="0" borderId="43" xfId="0" applyNumberFormat="1" applyFont="1" applyBorder="1" applyAlignment="1">
      <alignment horizontal="center" vertical="center" wrapText="1"/>
    </xf>
    <xf numFmtId="14" fontId="5" fillId="0" borderId="41" xfId="0" applyNumberFormat="1" applyFont="1" applyBorder="1" applyAlignment="1">
      <alignment horizontal="center" wrapText="1"/>
    </xf>
    <xf numFmtId="14" fontId="2" fillId="0" borderId="46" xfId="0" applyNumberFormat="1" applyFont="1" applyBorder="1" applyAlignment="1">
      <alignment horizontal="center" wrapText="1"/>
    </xf>
    <xf numFmtId="14" fontId="2" fillId="0" borderId="55" xfId="0" applyNumberFormat="1" applyFont="1" applyBorder="1" applyAlignment="1">
      <alignment horizontal="center" wrapText="1"/>
    </xf>
    <xf numFmtId="14" fontId="5" fillId="0" borderId="56" xfId="0" applyNumberFormat="1" applyFont="1" applyBorder="1" applyAlignment="1">
      <alignment horizontal="center" vertical="center" wrapText="1"/>
    </xf>
    <xf numFmtId="14" fontId="5" fillId="0" borderId="49" xfId="0" applyNumberFormat="1" applyFont="1" applyBorder="1" applyAlignment="1">
      <alignment horizontal="center" vertical="center" wrapText="1"/>
    </xf>
    <xf numFmtId="14" fontId="2" fillId="0" borderId="41" xfId="0" applyNumberFormat="1" applyFont="1" applyBorder="1" applyAlignment="1">
      <alignment horizontal="center" wrapText="1"/>
    </xf>
    <xf numFmtId="14" fontId="5" fillId="0" borderId="16" xfId="0" applyNumberFormat="1" applyFont="1" applyBorder="1" applyAlignment="1">
      <alignment horizontal="center" vertical="center" wrapText="1"/>
    </xf>
    <xf numFmtId="14" fontId="5" fillId="0" borderId="4" xfId="0" applyNumberFormat="1" applyFont="1" applyBorder="1" applyAlignment="1">
      <alignment horizontal="center" vertical="center" wrapText="1"/>
    </xf>
    <xf numFmtId="14" fontId="5" fillId="0" borderId="28" xfId="0" applyNumberFormat="1" applyFont="1" applyBorder="1" applyAlignment="1">
      <alignment horizontal="center" vertical="center" wrapText="1"/>
    </xf>
    <xf numFmtId="14" fontId="5" fillId="0" borderId="27" xfId="0" applyNumberFormat="1" applyFont="1" applyBorder="1" applyAlignment="1">
      <alignment horizontal="center" vertical="center" wrapText="1"/>
    </xf>
    <xf numFmtId="14" fontId="2" fillId="0" borderId="27" xfId="0" applyNumberFormat="1" applyFont="1" applyBorder="1" applyAlignment="1">
      <alignment horizontal="center" vertical="center" wrapText="1"/>
    </xf>
    <xf numFmtId="14" fontId="2" fillId="0" borderId="41" xfId="0" applyNumberFormat="1" applyFont="1" applyBorder="1" applyAlignment="1">
      <alignment horizontal="center" vertical="center" wrapText="1"/>
    </xf>
    <xf numFmtId="14" fontId="2" fillId="0" borderId="61" xfId="0" applyNumberFormat="1" applyFont="1" applyBorder="1" applyAlignment="1">
      <alignment horizontal="center" vertical="center" wrapText="1"/>
    </xf>
    <xf numFmtId="14" fontId="2" fillId="0" borderId="49" xfId="0" applyNumberFormat="1" applyFont="1" applyBorder="1" applyAlignment="1">
      <alignment horizontal="center" wrapText="1"/>
    </xf>
    <xf numFmtId="14" fontId="0" fillId="0" borderId="41" xfId="0" applyNumberFormat="1" applyBorder="1"/>
    <xf numFmtId="14" fontId="0" fillId="0" borderId="61" xfId="0" applyNumberFormat="1" applyBorder="1"/>
    <xf numFmtId="14" fontId="0" fillId="0" borderId="43" xfId="0" applyNumberFormat="1" applyBorder="1"/>
    <xf numFmtId="14" fontId="2" fillId="0" borderId="56" xfId="0" applyNumberFormat="1" applyFont="1" applyBorder="1" applyAlignment="1">
      <alignment horizontal="center" wrapText="1"/>
    </xf>
    <xf numFmtId="14" fontId="0" fillId="0" borderId="49" xfId="0" applyNumberFormat="1" applyBorder="1" applyAlignment="1">
      <alignment horizontal="center" vertical="center"/>
    </xf>
    <xf numFmtId="14" fontId="5" fillId="0" borderId="49" xfId="0" applyNumberFormat="1" applyFont="1" applyBorder="1" applyAlignment="1">
      <alignment horizontal="center" wrapText="1"/>
    </xf>
    <xf numFmtId="14" fontId="5" fillId="0" borderId="37" xfId="0" applyNumberFormat="1" applyFont="1" applyBorder="1" applyAlignment="1">
      <alignment horizontal="center" wrapText="1"/>
    </xf>
    <xf numFmtId="14" fontId="5" fillId="0" borderId="55" xfId="0" applyNumberFormat="1" applyFont="1" applyBorder="1" applyAlignment="1">
      <alignment horizontal="center" wrapText="1"/>
    </xf>
    <xf numFmtId="14" fontId="5" fillId="0" borderId="43" xfId="0" applyNumberFormat="1" applyFont="1" applyBorder="1" applyAlignment="1">
      <alignment horizontal="center" wrapText="1"/>
    </xf>
    <xf numFmtId="14" fontId="0" fillId="0" borderId="56" xfId="0" applyNumberFormat="1" applyBorder="1"/>
    <xf numFmtId="14" fontId="0" fillId="0" borderId="0" xfId="0" applyNumberFormat="1"/>
    <xf numFmtId="14" fontId="2" fillId="0" borderId="65" xfId="0" applyNumberFormat="1" applyFont="1" applyBorder="1" applyAlignment="1">
      <alignment horizontal="center" vertical="center" wrapText="1"/>
    </xf>
    <xf numFmtId="0" fontId="0" fillId="0" borderId="65" xfId="0" applyBorder="1" applyAlignment="1">
      <alignment vertical="center" wrapText="1"/>
    </xf>
    <xf numFmtId="0" fontId="10" fillId="6" borderId="1" xfId="0" applyFont="1" applyFill="1" applyBorder="1" applyAlignment="1">
      <alignment vertical="top" wrapText="1"/>
    </xf>
    <xf numFmtId="0" fontId="0" fillId="0" borderId="56" xfId="0" applyBorder="1" applyAlignment="1">
      <alignment horizontal="center" vertical="center" wrapText="1"/>
    </xf>
    <xf numFmtId="0" fontId="13" fillId="0" borderId="0" xfId="1"/>
    <xf numFmtId="0" fontId="13" fillId="0" borderId="0" xfId="1" applyAlignment="1">
      <alignment wrapText="1"/>
    </xf>
    <xf numFmtId="0" fontId="16" fillId="0" borderId="43" xfId="0" applyFont="1" applyBorder="1" applyAlignment="1">
      <alignment horizontal="center" vertical="center" wrapText="1"/>
    </xf>
    <xf numFmtId="0" fontId="16" fillId="0" borderId="61" xfId="0" applyFont="1" applyBorder="1" applyAlignment="1">
      <alignment horizontal="center" vertical="center" wrapText="1"/>
    </xf>
    <xf numFmtId="0" fontId="16" fillId="0" borderId="65" xfId="0" applyFont="1" applyBorder="1" applyAlignment="1">
      <alignment horizontal="center" vertical="center" wrapText="1"/>
    </xf>
    <xf numFmtId="0" fontId="16" fillId="0" borderId="41" xfId="0" applyFont="1" applyBorder="1" applyAlignment="1">
      <alignment horizontal="center" vertical="center" wrapText="1"/>
    </xf>
    <xf numFmtId="0" fontId="16" fillId="0" borderId="49"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56" xfId="0" applyFont="1" applyBorder="1" applyAlignment="1">
      <alignment horizontal="center" vertical="center" wrapText="1"/>
    </xf>
    <xf numFmtId="0" fontId="16" fillId="0" borderId="55" xfId="0" applyFont="1" applyBorder="1" applyAlignment="1">
      <alignment horizontal="center" vertical="center" wrapText="1"/>
    </xf>
    <xf numFmtId="0" fontId="16" fillId="0" borderId="46" xfId="0" applyFont="1" applyBorder="1" applyAlignment="1">
      <alignment horizontal="center" vertical="center" wrapText="1"/>
    </xf>
    <xf numFmtId="0" fontId="0" fillId="0" borderId="56" xfId="0" applyBorder="1" applyAlignment="1">
      <alignment wrapText="1"/>
    </xf>
    <xf numFmtId="0" fontId="13" fillId="0" borderId="49" xfId="1" applyBorder="1"/>
    <xf numFmtId="0" fontId="2" fillId="0" borderId="43"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61" xfId="0" applyFont="1" applyBorder="1" applyAlignment="1">
      <alignment horizontal="center" vertical="center" wrapText="1"/>
    </xf>
    <xf numFmtId="0" fontId="7" fillId="4" borderId="38" xfId="0" applyFont="1" applyFill="1" applyBorder="1" applyAlignment="1">
      <alignment horizontal="center" vertical="center" wrapText="1"/>
    </xf>
    <xf numFmtId="0" fontId="7" fillId="4" borderId="39" xfId="0" applyFont="1" applyFill="1" applyBorder="1" applyAlignment="1">
      <alignment horizontal="center" vertical="center" wrapText="1"/>
    </xf>
    <xf numFmtId="0" fontId="5" fillId="0" borderId="55" xfId="0" applyFont="1" applyBorder="1" applyAlignment="1">
      <alignment horizontal="center" vertical="center" wrapText="1"/>
    </xf>
    <xf numFmtId="0" fontId="5" fillId="0" borderId="37" xfId="0" applyFont="1" applyBorder="1" applyAlignment="1">
      <alignment horizontal="center" vertical="center" wrapText="1"/>
    </xf>
    <xf numFmtId="0" fontId="7" fillId="7" borderId="42" xfId="0" applyFont="1" applyFill="1" applyBorder="1" applyAlignment="1">
      <alignment horizontal="center" vertical="center" wrapText="1"/>
    </xf>
    <xf numFmtId="0" fontId="7" fillId="7" borderId="45" xfId="0" applyFont="1" applyFill="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7" fillId="7" borderId="54" xfId="0" applyFont="1" applyFill="1" applyBorder="1" applyAlignment="1">
      <alignment horizontal="center" vertical="center" wrapText="1"/>
    </xf>
    <xf numFmtId="0" fontId="2" fillId="0" borderId="37" xfId="0" applyFont="1" applyBorder="1" applyAlignment="1">
      <alignment horizontal="center" vertical="center" wrapText="1"/>
    </xf>
    <xf numFmtId="0" fontId="7" fillId="7" borderId="52" xfId="0" applyFont="1" applyFill="1" applyBorder="1" applyAlignment="1">
      <alignment horizontal="center" vertical="center" wrapText="1"/>
    </xf>
    <xf numFmtId="0" fontId="7" fillId="7" borderId="58" xfId="0" applyFont="1" applyFill="1" applyBorder="1" applyAlignment="1">
      <alignment horizontal="center" vertical="center" wrapText="1"/>
    </xf>
    <xf numFmtId="0" fontId="7" fillId="7" borderId="60" xfId="0" applyFont="1" applyFill="1" applyBorder="1" applyAlignment="1">
      <alignment horizontal="center" vertical="center" wrapText="1"/>
    </xf>
    <xf numFmtId="0" fontId="7" fillId="7" borderId="69" xfId="0" applyFont="1" applyFill="1" applyBorder="1" applyAlignment="1">
      <alignment horizontal="center" vertical="center" wrapText="1"/>
    </xf>
    <xf numFmtId="0" fontId="3" fillId="4" borderId="42" xfId="0" applyFont="1" applyFill="1" applyBorder="1" applyAlignment="1">
      <alignment horizontal="center" vertical="center" wrapText="1"/>
    </xf>
    <xf numFmtId="0" fontId="3" fillId="4" borderId="58" xfId="0" applyFont="1" applyFill="1" applyBorder="1" applyAlignment="1">
      <alignment horizontal="center" vertical="center" wrapText="1"/>
    </xf>
    <xf numFmtId="0" fontId="3" fillId="4" borderId="60" xfId="0" applyFont="1" applyFill="1" applyBorder="1" applyAlignment="1">
      <alignment horizontal="center" vertical="center" wrapText="1"/>
    </xf>
    <xf numFmtId="0" fontId="7" fillId="4" borderId="42" xfId="0" applyFont="1" applyFill="1" applyBorder="1" applyAlignment="1">
      <alignment horizontal="center" vertical="center" wrapText="1"/>
    </xf>
    <xf numFmtId="0" fontId="7" fillId="4" borderId="45" xfId="0" applyFont="1" applyFill="1" applyBorder="1" applyAlignment="1">
      <alignment horizontal="center" vertical="center" wrapText="1"/>
    </xf>
    <xf numFmtId="0" fontId="11" fillId="0" borderId="41" xfId="0" applyFont="1" applyBorder="1" applyAlignment="1">
      <alignment horizontal="center" vertical="center" wrapText="1"/>
    </xf>
    <xf numFmtId="0" fontId="5" fillId="0" borderId="65" xfId="0" applyFont="1" applyBorder="1" applyAlignment="1">
      <alignment horizontal="center" vertical="center" wrapText="1"/>
    </xf>
    <xf numFmtId="0" fontId="5" fillId="0" borderId="41"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43"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56" xfId="0" applyFont="1" applyBorder="1" applyAlignment="1">
      <alignment horizontal="center" vertical="center" wrapText="1"/>
    </xf>
    <xf numFmtId="0" fontId="3" fillId="7" borderId="52" xfId="0" applyFont="1" applyFill="1" applyBorder="1" applyAlignment="1">
      <alignment horizontal="center" vertical="center" wrapText="1"/>
    </xf>
    <xf numFmtId="0" fontId="3" fillId="7" borderId="53" xfId="0" applyFont="1" applyFill="1" applyBorder="1" applyAlignment="1">
      <alignment horizontal="center" vertical="center" wrapText="1"/>
    </xf>
    <xf numFmtId="0" fontId="7" fillId="6" borderId="42" xfId="0" applyFont="1" applyFill="1" applyBorder="1" applyAlignment="1">
      <alignment horizontal="center" vertical="center" wrapText="1"/>
    </xf>
    <xf numFmtId="0" fontId="7" fillId="6" borderId="58" xfId="0" applyFont="1" applyFill="1" applyBorder="1" applyAlignment="1">
      <alignment horizontal="center" vertical="center" wrapText="1"/>
    </xf>
    <xf numFmtId="0" fontId="7" fillId="6" borderId="60" xfId="0" applyFont="1" applyFill="1" applyBorder="1" applyAlignment="1">
      <alignment horizontal="center" vertical="center" wrapText="1"/>
    </xf>
    <xf numFmtId="0" fontId="7" fillId="6" borderId="52" xfId="0" applyFont="1" applyFill="1" applyBorder="1" applyAlignment="1">
      <alignment horizontal="center" vertical="center" wrapText="1"/>
    </xf>
    <xf numFmtId="0" fontId="7" fillId="6" borderId="54" xfId="0" applyFont="1" applyFill="1" applyBorder="1" applyAlignment="1">
      <alignment horizontal="center" vertical="center" wrapText="1"/>
    </xf>
    <xf numFmtId="0" fontId="7" fillId="6" borderId="69" xfId="0" applyFont="1" applyFill="1" applyBorder="1" applyAlignment="1">
      <alignment horizontal="center" vertical="center" wrapText="1"/>
    </xf>
    <xf numFmtId="0" fontId="7" fillId="6" borderId="45" xfId="0" applyFont="1" applyFill="1" applyBorder="1" applyAlignment="1">
      <alignment horizontal="center" vertical="center" wrapText="1"/>
    </xf>
    <xf numFmtId="0" fontId="7" fillId="6" borderId="53" xfId="0" applyFont="1" applyFill="1" applyBorder="1" applyAlignment="1">
      <alignment horizontal="center" vertical="center" wrapText="1"/>
    </xf>
    <xf numFmtId="0" fontId="3" fillId="4" borderId="52" xfId="0" applyFont="1" applyFill="1" applyBorder="1" applyAlignment="1">
      <alignment horizontal="center" vertical="center" wrapText="1"/>
    </xf>
    <xf numFmtId="0" fontId="3" fillId="4" borderId="53" xfId="0" applyFont="1" applyFill="1" applyBorder="1" applyAlignment="1">
      <alignment horizontal="center" vertical="center" wrapText="1"/>
    </xf>
    <xf numFmtId="0" fontId="11" fillId="0" borderId="43" xfId="0" applyFont="1" applyBorder="1" applyAlignment="1">
      <alignment horizontal="center" vertical="center" wrapText="1"/>
    </xf>
    <xf numFmtId="0" fontId="11" fillId="0" borderId="46" xfId="0" applyFont="1" applyBorder="1" applyAlignment="1">
      <alignment horizontal="center" vertical="center" wrapText="1"/>
    </xf>
    <xf numFmtId="0" fontId="12" fillId="10" borderId="42" xfId="0" applyFont="1" applyFill="1" applyBorder="1" applyAlignment="1">
      <alignment horizontal="center" vertical="center" wrapText="1"/>
    </xf>
    <xf numFmtId="0" fontId="12" fillId="10" borderId="45" xfId="0" applyFont="1" applyFill="1" applyBorder="1" applyAlignment="1">
      <alignment horizontal="center" vertical="center" wrapText="1"/>
    </xf>
    <xf numFmtId="0" fontId="12" fillId="10" borderId="60" xfId="0" applyFont="1" applyFill="1" applyBorder="1" applyAlignment="1">
      <alignment horizontal="center" vertical="center" wrapText="1"/>
    </xf>
    <xf numFmtId="0" fontId="3" fillId="4" borderId="45" xfId="0" applyFont="1" applyFill="1" applyBorder="1" applyAlignment="1">
      <alignment horizontal="center" vertical="center" wrapText="1"/>
    </xf>
    <xf numFmtId="0" fontId="2" fillId="0" borderId="2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42"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55" xfId="0" applyFont="1" applyBorder="1" applyAlignment="1">
      <alignment horizontal="center" wrapText="1"/>
    </xf>
    <xf numFmtId="0" fontId="2" fillId="0" borderId="56" xfId="0" applyFont="1" applyBorder="1" applyAlignment="1">
      <alignment horizont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0"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wrapText="1"/>
    </xf>
    <xf numFmtId="0" fontId="3" fillId="0" borderId="8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1"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8" xfId="0" applyFont="1" applyBorder="1" applyAlignment="1">
      <alignment horizontal="center" vertical="center" wrapText="1"/>
    </xf>
    <xf numFmtId="0" fontId="3" fillId="0" borderId="13" xfId="0" applyFont="1" applyBorder="1" applyAlignment="1">
      <alignment horizontal="center" vertical="center" wrapText="1"/>
    </xf>
    <xf numFmtId="0" fontId="0" fillId="0" borderId="3" xfId="0" applyBorder="1" applyAlignment="1">
      <alignment horizontal="center" vertical="center" wrapText="1"/>
    </xf>
    <xf numFmtId="0" fontId="0" fillId="0" borderId="43" xfId="0" applyBorder="1" applyAlignment="1">
      <alignment horizontal="center" vertical="center" wrapText="1"/>
    </xf>
    <xf numFmtId="0" fontId="0" fillId="0" borderId="46" xfId="0" applyBorder="1" applyAlignment="1">
      <alignment horizontal="center" vertical="center" wrapText="1"/>
    </xf>
    <xf numFmtId="0" fontId="0" fillId="0" borderId="2" xfId="0" applyBorder="1" applyAlignment="1">
      <alignment horizontal="center" vertical="center" wrapText="1"/>
    </xf>
    <xf numFmtId="0" fontId="2" fillId="4" borderId="69"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3" fillId="0" borderId="77" xfId="0" applyFont="1" applyBorder="1" applyAlignment="1">
      <alignment horizontal="center" vertical="center" wrapText="1"/>
    </xf>
    <xf numFmtId="0" fontId="3" fillId="0" borderId="0" xfId="0" applyFont="1" applyAlignment="1">
      <alignment horizontal="center" vertical="center" wrapText="1"/>
    </xf>
    <xf numFmtId="0" fontId="3" fillId="0" borderId="17" xfId="0" applyFont="1" applyBorder="1" applyAlignment="1">
      <alignment horizontal="center" vertical="center" wrapText="1"/>
    </xf>
    <xf numFmtId="0" fontId="3" fillId="0" borderId="86"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31" xfId="0" applyFont="1" applyBorder="1" applyAlignment="1">
      <alignment horizontal="center" vertical="center" wrapText="1"/>
    </xf>
    <xf numFmtId="0" fontId="0" fillId="8" borderId="3" xfId="0" applyFill="1" applyBorder="1" applyAlignment="1">
      <alignment horizontal="center" vertical="center"/>
    </xf>
    <xf numFmtId="0" fontId="0" fillId="8" borderId="2"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yaneshgupta121291@gmail.com" TargetMode="External"/><Relationship Id="rId2" Type="http://schemas.openxmlformats.org/officeDocument/2006/relationships/hyperlink" Target="mailto:Mendoncabrendon82@gmail.com" TargetMode="External"/><Relationship Id="rId1" Type="http://schemas.openxmlformats.org/officeDocument/2006/relationships/hyperlink" Target="mailto:gowri.bhat@zerodha.com" TargetMode="External"/><Relationship Id="rId5" Type="http://schemas.openxmlformats.org/officeDocument/2006/relationships/hyperlink" Target="mailto:Sharath.Nambiar@austrade.gov.au" TargetMode="External"/><Relationship Id="rId4" Type="http://schemas.openxmlformats.org/officeDocument/2006/relationships/hyperlink" Target="mailto:erin@nachiketmor.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26BC2-8746-4859-8DCA-C8DE5090F705}">
  <dimension ref="B1:Q140"/>
  <sheetViews>
    <sheetView tabSelected="1" topLeftCell="A21" zoomScaleNormal="100" workbookViewId="0">
      <pane xSplit="1" topLeftCell="B1" activePane="topRight" state="frozen"/>
      <selection pane="topRight" activeCell="E6" sqref="E6"/>
    </sheetView>
  </sheetViews>
  <sheetFormatPr defaultColWidth="21.5703125" defaultRowHeight="60" customHeight="1"/>
  <cols>
    <col min="3" max="3" width="28.28515625" customWidth="1"/>
    <col min="4" max="4" width="29.140625" customWidth="1"/>
    <col min="5" max="5" width="21.5703125" style="399"/>
    <col min="6" max="6" width="16.5703125" customWidth="1"/>
    <col min="7" max="7" width="45.140625" customWidth="1"/>
    <col min="8" max="8" width="27.42578125" customWidth="1"/>
  </cols>
  <sheetData>
    <row r="1" spans="2:17" ht="60" customHeight="1" thickBot="1">
      <c r="B1" s="135" t="s">
        <v>0</v>
      </c>
      <c r="C1" s="55" t="s">
        <v>1</v>
      </c>
      <c r="D1" s="55" t="s">
        <v>2</v>
      </c>
      <c r="E1" s="361" t="s">
        <v>3</v>
      </c>
      <c r="F1" s="55" t="s">
        <v>4</v>
      </c>
      <c r="G1" s="55" t="s">
        <v>5</v>
      </c>
      <c r="H1" s="55" t="s">
        <v>6</v>
      </c>
      <c r="I1" s="55" t="s">
        <v>7</v>
      </c>
      <c r="J1" s="55" t="s">
        <v>8</v>
      </c>
      <c r="K1" s="55" t="s">
        <v>9</v>
      </c>
      <c r="L1" s="89" t="s">
        <v>10</v>
      </c>
      <c r="M1" s="89" t="s">
        <v>11</v>
      </c>
      <c r="N1" s="55" t="s">
        <v>12</v>
      </c>
      <c r="O1" s="57" t="s">
        <v>13</v>
      </c>
      <c r="P1" s="89" t="s">
        <v>14</v>
      </c>
      <c r="Q1" s="89" t="s">
        <v>15</v>
      </c>
    </row>
    <row r="2" spans="2:17" ht="97.5" customHeight="1">
      <c r="B2" s="460" t="s">
        <v>16</v>
      </c>
      <c r="C2" s="122" t="s">
        <v>17</v>
      </c>
      <c r="D2" s="122" t="s">
        <v>18</v>
      </c>
      <c r="E2" s="362"/>
      <c r="F2" s="122"/>
      <c r="G2" s="209" t="s">
        <v>19</v>
      </c>
      <c r="H2" s="154"/>
      <c r="I2" s="122"/>
      <c r="J2" s="122"/>
      <c r="K2" s="122"/>
      <c r="L2" s="122"/>
      <c r="M2" s="122"/>
      <c r="N2" s="153"/>
      <c r="O2" s="155"/>
      <c r="P2" s="153"/>
      <c r="Q2" s="156"/>
    </row>
    <row r="3" spans="2:17" ht="21.95" customHeight="1" thickBot="1">
      <c r="B3" s="461"/>
      <c r="C3" s="129" t="s">
        <v>20</v>
      </c>
      <c r="D3" s="127"/>
      <c r="E3" s="363"/>
      <c r="F3" s="127"/>
      <c r="G3" s="158"/>
      <c r="H3" s="159"/>
      <c r="I3" s="127"/>
      <c r="J3" s="127"/>
      <c r="K3" s="127"/>
      <c r="L3" s="127"/>
      <c r="M3" s="127"/>
      <c r="N3" s="158"/>
      <c r="O3" s="160"/>
      <c r="P3" s="158"/>
      <c r="Q3" s="161"/>
    </row>
    <row r="4" spans="2:17" ht="60" customHeight="1">
      <c r="B4" s="460" t="s">
        <v>21</v>
      </c>
      <c r="C4" s="124" t="s">
        <v>22</v>
      </c>
      <c r="D4" s="124" t="s">
        <v>23</v>
      </c>
      <c r="E4" s="364"/>
      <c r="F4" s="209"/>
      <c r="G4" s="209" t="s">
        <v>24</v>
      </c>
      <c r="H4" s="124" t="s">
        <v>25</v>
      </c>
      <c r="I4" s="122"/>
      <c r="J4" s="122"/>
      <c r="K4" s="122"/>
      <c r="L4" s="122"/>
      <c r="M4" s="122"/>
      <c r="N4" s="153"/>
      <c r="O4" s="155"/>
      <c r="P4" s="153"/>
      <c r="Q4" s="156"/>
    </row>
    <row r="5" spans="2:17" ht="60" customHeight="1" thickBot="1">
      <c r="B5" s="462"/>
      <c r="C5" s="175" t="s">
        <v>26</v>
      </c>
      <c r="D5" s="175" t="s">
        <v>23</v>
      </c>
      <c r="E5" s="365"/>
      <c r="F5" s="245"/>
      <c r="G5" s="245" t="s">
        <v>24</v>
      </c>
      <c r="H5" s="97" t="s">
        <v>27</v>
      </c>
      <c r="I5" s="163"/>
      <c r="J5" s="163"/>
      <c r="K5" s="163"/>
      <c r="L5" s="163"/>
      <c r="M5" s="163"/>
      <c r="N5" s="164"/>
      <c r="O5" s="166"/>
      <c r="P5" s="164"/>
      <c r="Q5" s="167"/>
    </row>
    <row r="6" spans="2:17" ht="104.45" customHeight="1" thickBot="1">
      <c r="B6" s="276" t="s">
        <v>28</v>
      </c>
      <c r="C6" s="134" t="s">
        <v>29</v>
      </c>
      <c r="D6" s="134" t="s">
        <v>30</v>
      </c>
      <c r="E6" s="366" t="s">
        <v>31</v>
      </c>
      <c r="F6" s="134" t="s">
        <v>32</v>
      </c>
      <c r="G6" s="134" t="s">
        <v>33</v>
      </c>
      <c r="H6" s="134"/>
      <c r="I6" s="232">
        <v>2</v>
      </c>
      <c r="J6" s="232">
        <f>I6</f>
        <v>2</v>
      </c>
      <c r="K6" s="232" t="s">
        <v>34</v>
      </c>
      <c r="L6" s="232" t="s">
        <v>35</v>
      </c>
      <c r="M6" s="232" t="s">
        <v>36</v>
      </c>
      <c r="N6" s="256"/>
      <c r="O6" s="278"/>
      <c r="P6" s="278" t="s">
        <v>37</v>
      </c>
      <c r="Q6" s="257"/>
    </row>
    <row r="7" spans="2:17" ht="60" customHeight="1" thickBot="1">
      <c r="B7" s="268" t="s">
        <v>38</v>
      </c>
      <c r="C7" s="269" t="s">
        <v>39</v>
      </c>
      <c r="D7" s="269" t="s">
        <v>40</v>
      </c>
      <c r="E7" s="367" t="s">
        <v>41</v>
      </c>
      <c r="F7" s="269" t="s">
        <v>42</v>
      </c>
      <c r="G7" s="269"/>
      <c r="H7" s="269" t="s">
        <v>43</v>
      </c>
      <c r="I7" s="269">
        <v>1</v>
      </c>
      <c r="J7" s="269">
        <f>I7</f>
        <v>1</v>
      </c>
      <c r="K7" s="269" t="s">
        <v>44</v>
      </c>
      <c r="L7" s="269" t="s">
        <v>45</v>
      </c>
      <c r="M7" s="269" t="s">
        <v>36</v>
      </c>
      <c r="N7" s="270"/>
      <c r="O7" s="271" t="s">
        <v>46</v>
      </c>
      <c r="P7" s="403" t="s">
        <v>47</v>
      </c>
      <c r="Q7" s="269"/>
    </row>
    <row r="8" spans="2:17" ht="60" customHeight="1" thickBot="1">
      <c r="B8" s="142" t="s">
        <v>48</v>
      </c>
      <c r="C8" s="143" t="s">
        <v>49</v>
      </c>
      <c r="D8" s="143" t="s">
        <v>50</v>
      </c>
      <c r="E8" s="368" t="s">
        <v>51</v>
      </c>
      <c r="F8" s="143" t="s">
        <v>52</v>
      </c>
      <c r="G8" s="144"/>
      <c r="H8" s="145" t="s">
        <v>53</v>
      </c>
      <c r="I8" s="143">
        <v>2</v>
      </c>
      <c r="J8" s="143">
        <f>I8</f>
        <v>2</v>
      </c>
      <c r="K8" s="143" t="s">
        <v>54</v>
      </c>
      <c r="L8" s="143" t="s">
        <v>55</v>
      </c>
      <c r="M8" s="143" t="s">
        <v>36</v>
      </c>
      <c r="N8" s="144"/>
      <c r="O8" s="146" t="s">
        <v>56</v>
      </c>
      <c r="P8" s="144" t="s">
        <v>57</v>
      </c>
      <c r="Q8" s="146"/>
    </row>
    <row r="9" spans="2:17" ht="60" customHeight="1">
      <c r="B9" s="448" t="s">
        <v>58</v>
      </c>
      <c r="C9" s="122" t="s">
        <v>59</v>
      </c>
      <c r="D9" s="122" t="s">
        <v>50</v>
      </c>
      <c r="E9" s="362" t="s">
        <v>60</v>
      </c>
      <c r="F9" s="122" t="s">
        <v>61</v>
      </c>
      <c r="G9" s="153"/>
      <c r="H9" s="154"/>
      <c r="I9" s="122">
        <v>2</v>
      </c>
      <c r="J9" s="422">
        <f>I9+I10+I11</f>
        <v>4</v>
      </c>
      <c r="K9" s="122" t="s">
        <v>54</v>
      </c>
      <c r="L9" s="122" t="s">
        <v>62</v>
      </c>
      <c r="M9" s="122" t="s">
        <v>36</v>
      </c>
      <c r="N9" s="153"/>
      <c r="O9" s="155" t="s">
        <v>63</v>
      </c>
      <c r="P9" s="153" t="s">
        <v>64</v>
      </c>
      <c r="Q9" s="156"/>
    </row>
    <row r="10" spans="2:17" ht="96.6" customHeight="1">
      <c r="B10" s="449"/>
      <c r="C10" s="118" t="s">
        <v>65</v>
      </c>
      <c r="D10" s="118" t="s">
        <v>66</v>
      </c>
      <c r="E10" s="369" t="s">
        <v>67</v>
      </c>
      <c r="F10" s="118" t="s">
        <v>68</v>
      </c>
      <c r="G10" s="138"/>
      <c r="H10" s="120" t="s">
        <v>69</v>
      </c>
      <c r="I10" s="118">
        <v>2</v>
      </c>
      <c r="J10" s="423"/>
      <c r="K10" s="118" t="s">
        <v>70</v>
      </c>
      <c r="L10" s="118" t="s">
        <v>71</v>
      </c>
      <c r="M10" s="118" t="s">
        <v>36</v>
      </c>
      <c r="N10" s="138"/>
      <c r="O10" s="152" t="s">
        <v>72</v>
      </c>
      <c r="P10" s="138"/>
      <c r="Q10" s="157"/>
    </row>
    <row r="11" spans="2:17" ht="60" customHeight="1" thickBot="1">
      <c r="B11" s="450"/>
      <c r="C11" s="162" t="s">
        <v>73</v>
      </c>
      <c r="D11" s="163"/>
      <c r="E11" s="370"/>
      <c r="F11" s="163"/>
      <c r="G11" s="164"/>
      <c r="H11" s="165"/>
      <c r="I11" s="163"/>
      <c r="J11" s="445"/>
      <c r="K11" s="163"/>
      <c r="L11" s="163"/>
      <c r="M11" s="163"/>
      <c r="N11" s="164"/>
      <c r="O11" s="166"/>
      <c r="P11" s="164"/>
      <c r="Q11" s="167"/>
    </row>
    <row r="12" spans="2:17" ht="39.950000000000003" customHeight="1">
      <c r="B12" s="451" t="s">
        <v>74</v>
      </c>
      <c r="C12" s="124" t="s">
        <v>75</v>
      </c>
      <c r="D12" s="122"/>
      <c r="E12" s="362"/>
      <c r="F12" s="122"/>
      <c r="G12" s="80" t="s">
        <v>76</v>
      </c>
      <c r="H12" s="154"/>
      <c r="I12" s="122"/>
      <c r="J12" s="422">
        <f>SUM(I12:I17)</f>
        <v>2</v>
      </c>
      <c r="K12" s="122"/>
      <c r="L12" s="122"/>
      <c r="M12" s="122"/>
      <c r="N12" s="153"/>
      <c r="O12" s="155"/>
      <c r="P12" s="153"/>
      <c r="Q12" s="156"/>
    </row>
    <row r="13" spans="2:17" ht="45.6" customHeight="1">
      <c r="B13" s="452"/>
      <c r="C13" s="120" t="s">
        <v>77</v>
      </c>
      <c r="D13" s="118" t="s">
        <v>78</v>
      </c>
      <c r="E13" s="369" t="s">
        <v>60</v>
      </c>
      <c r="F13" s="118" t="s">
        <v>79</v>
      </c>
      <c r="G13" s="138"/>
      <c r="H13" s="151"/>
      <c r="I13" s="118">
        <v>2</v>
      </c>
      <c r="J13" s="423"/>
      <c r="K13" s="118" t="s">
        <v>54</v>
      </c>
      <c r="L13" s="118" t="s">
        <v>62</v>
      </c>
      <c r="M13" s="118" t="s">
        <v>36</v>
      </c>
      <c r="N13" s="138"/>
      <c r="O13" s="118" t="s">
        <v>80</v>
      </c>
      <c r="P13" s="138"/>
      <c r="Q13" s="157"/>
    </row>
    <row r="14" spans="2:17" ht="25.5" customHeight="1">
      <c r="B14" s="452"/>
      <c r="C14" s="120" t="s">
        <v>81</v>
      </c>
      <c r="D14" s="118"/>
      <c r="E14" s="369"/>
      <c r="F14" s="118"/>
      <c r="G14" s="138"/>
      <c r="H14" s="151"/>
      <c r="I14" s="118"/>
      <c r="J14" s="423"/>
      <c r="K14" s="118"/>
      <c r="L14" s="118"/>
      <c r="M14" s="118"/>
      <c r="N14" s="138"/>
      <c r="O14" s="152"/>
      <c r="P14" s="138"/>
      <c r="Q14" s="157"/>
    </row>
    <row r="15" spans="2:17" ht="23.45" customHeight="1">
      <c r="B15" s="452"/>
      <c r="C15" s="120" t="s">
        <v>82</v>
      </c>
      <c r="D15" s="118"/>
      <c r="E15" s="369"/>
      <c r="F15" s="118"/>
      <c r="G15" s="138"/>
      <c r="H15" s="151"/>
      <c r="I15" s="118"/>
      <c r="J15" s="423"/>
      <c r="K15" s="118"/>
      <c r="L15" s="118"/>
      <c r="M15" s="118"/>
      <c r="N15" s="138"/>
      <c r="O15" s="152"/>
      <c r="P15" s="138"/>
      <c r="Q15" s="157"/>
    </row>
    <row r="16" spans="2:17" ht="27.6" customHeight="1">
      <c r="B16" s="452"/>
      <c r="C16" s="120" t="s">
        <v>83</v>
      </c>
      <c r="D16" s="118"/>
      <c r="E16" s="369"/>
      <c r="F16" s="118"/>
      <c r="G16" s="138"/>
      <c r="H16" s="151"/>
      <c r="I16" s="118"/>
      <c r="J16" s="423"/>
      <c r="K16" s="118"/>
      <c r="L16" s="118"/>
      <c r="M16" s="118"/>
      <c r="N16" s="138"/>
      <c r="O16" s="152"/>
      <c r="P16" s="138"/>
      <c r="Q16" s="157"/>
    </row>
    <row r="17" spans="2:17" ht="34.5" customHeight="1" thickBot="1">
      <c r="B17" s="452"/>
      <c r="C17" s="163" t="s">
        <v>84</v>
      </c>
      <c r="D17" s="163"/>
      <c r="E17" s="370"/>
      <c r="F17" s="163"/>
      <c r="G17" s="164"/>
      <c r="H17" s="165"/>
      <c r="I17" s="163"/>
      <c r="J17" s="445"/>
      <c r="K17" s="163"/>
      <c r="L17" s="163"/>
      <c r="M17" s="163"/>
      <c r="N17" s="164"/>
      <c r="O17" s="166"/>
      <c r="P17" s="164"/>
      <c r="Q17" s="167"/>
    </row>
    <row r="18" spans="2:17" ht="30.95" customHeight="1">
      <c r="B18" s="448" t="s">
        <v>85</v>
      </c>
      <c r="C18" s="124" t="s">
        <v>86</v>
      </c>
      <c r="D18" s="443" t="s">
        <v>87</v>
      </c>
      <c r="E18" s="362"/>
      <c r="F18" s="122"/>
      <c r="G18" s="153"/>
      <c r="H18" s="154"/>
      <c r="I18" s="122">
        <v>2</v>
      </c>
      <c r="J18" s="422">
        <f>SUM(I18:I19)</f>
        <v>5</v>
      </c>
      <c r="K18" s="122"/>
      <c r="L18" s="122"/>
      <c r="M18" s="122"/>
      <c r="N18" s="153"/>
      <c r="O18" s="155"/>
      <c r="P18" s="153"/>
      <c r="Q18" s="156"/>
    </row>
    <row r="19" spans="2:17" ht="36.6" customHeight="1" thickBot="1">
      <c r="B19" s="454"/>
      <c r="C19" s="129" t="s">
        <v>88</v>
      </c>
      <c r="D19" s="444"/>
      <c r="E19" s="363" t="s">
        <v>31</v>
      </c>
      <c r="F19" s="127" t="s">
        <v>89</v>
      </c>
      <c r="G19" s="158"/>
      <c r="H19" s="159"/>
      <c r="I19" s="127">
        <v>3</v>
      </c>
      <c r="J19" s="445"/>
      <c r="K19" s="127"/>
      <c r="L19" s="127"/>
      <c r="M19" s="127"/>
      <c r="N19" s="158"/>
      <c r="O19" s="160"/>
      <c r="P19" s="158"/>
      <c r="Q19" s="161"/>
    </row>
    <row r="20" spans="2:17" ht="25.5" customHeight="1">
      <c r="B20" s="451" t="s">
        <v>90</v>
      </c>
      <c r="C20" s="19" t="s">
        <v>91</v>
      </c>
      <c r="D20" s="98" t="s">
        <v>92</v>
      </c>
      <c r="E20" s="371"/>
      <c r="F20" s="98"/>
      <c r="G20" s="208"/>
      <c r="H20" s="324"/>
      <c r="I20" s="98"/>
      <c r="J20" s="98"/>
      <c r="K20" s="98"/>
      <c r="L20" s="98"/>
      <c r="M20" s="98"/>
      <c r="N20" s="208"/>
      <c r="O20" s="325"/>
      <c r="P20" s="208"/>
      <c r="Q20" s="326"/>
    </row>
    <row r="21" spans="2:17" ht="25.5" customHeight="1">
      <c r="B21" s="452"/>
      <c r="C21" s="19" t="s">
        <v>93</v>
      </c>
      <c r="D21" s="98"/>
      <c r="E21" s="371"/>
      <c r="F21" s="98"/>
      <c r="G21" s="208"/>
      <c r="H21" s="324"/>
      <c r="I21" s="98"/>
      <c r="J21" s="98"/>
      <c r="K21" s="98"/>
      <c r="L21" s="98"/>
      <c r="M21" s="98"/>
      <c r="N21" s="208"/>
      <c r="O21" s="325"/>
      <c r="P21" s="208"/>
      <c r="Q21" s="326"/>
    </row>
    <row r="22" spans="2:17" ht="25.5" customHeight="1">
      <c r="B22" s="452"/>
      <c r="C22" s="19" t="s">
        <v>94</v>
      </c>
      <c r="D22" s="98"/>
      <c r="E22" s="371"/>
      <c r="F22" s="98"/>
      <c r="G22" s="208"/>
      <c r="H22" s="324"/>
      <c r="I22" s="98"/>
      <c r="J22" s="98"/>
      <c r="K22" s="98"/>
      <c r="L22" s="98"/>
      <c r="M22" s="98"/>
      <c r="N22" s="208"/>
      <c r="O22" s="325"/>
      <c r="P22" s="208"/>
      <c r="Q22" s="326"/>
    </row>
    <row r="23" spans="2:17" ht="25.5" customHeight="1" thickBot="1">
      <c r="B23" s="452"/>
      <c r="C23" s="19" t="s">
        <v>95</v>
      </c>
      <c r="D23" s="98"/>
      <c r="E23" s="371"/>
      <c r="F23" s="98"/>
      <c r="G23" s="208"/>
      <c r="H23" s="324"/>
      <c r="I23" s="98"/>
      <c r="J23" s="98"/>
      <c r="K23" s="98"/>
      <c r="L23" s="98"/>
      <c r="M23" s="98"/>
      <c r="N23" s="208"/>
      <c r="O23" s="325"/>
      <c r="P23" s="208"/>
      <c r="Q23" s="326"/>
    </row>
    <row r="24" spans="2:17" ht="60" customHeight="1">
      <c r="B24" s="451" t="s">
        <v>96</v>
      </c>
      <c r="C24" s="213" t="s">
        <v>97</v>
      </c>
      <c r="D24" s="443" t="s">
        <v>98</v>
      </c>
      <c r="E24" s="362"/>
      <c r="F24" s="122"/>
      <c r="G24" s="458" t="s">
        <v>99</v>
      </c>
      <c r="H24" s="154"/>
      <c r="I24" s="122"/>
      <c r="J24" s="122"/>
      <c r="K24" s="122"/>
      <c r="L24" s="122"/>
      <c r="M24" s="122" t="s">
        <v>100</v>
      </c>
      <c r="N24" s="153"/>
      <c r="O24" s="153" t="s">
        <v>101</v>
      </c>
      <c r="P24" s="153"/>
      <c r="Q24" s="156"/>
    </row>
    <row r="25" spans="2:17" ht="60" customHeight="1" thickBot="1">
      <c r="B25" s="455"/>
      <c r="C25" s="214" t="s">
        <v>102</v>
      </c>
      <c r="D25" s="444"/>
      <c r="E25" s="363"/>
      <c r="F25" s="127"/>
      <c r="G25" s="459"/>
      <c r="H25" s="159"/>
      <c r="I25" s="127"/>
      <c r="J25" s="127"/>
      <c r="K25" s="127"/>
      <c r="L25" s="127"/>
      <c r="M25" s="127"/>
      <c r="N25" s="158"/>
      <c r="O25" s="160"/>
      <c r="P25" s="158"/>
      <c r="Q25" s="161"/>
    </row>
    <row r="26" spans="2:17" ht="60" customHeight="1">
      <c r="B26" s="453" t="s">
        <v>103</v>
      </c>
      <c r="C26" s="178" t="s">
        <v>104</v>
      </c>
      <c r="D26" s="178" t="s">
        <v>105</v>
      </c>
      <c r="E26" s="372" t="s">
        <v>106</v>
      </c>
      <c r="F26" s="176" t="s">
        <v>107</v>
      </c>
      <c r="G26" s="221"/>
      <c r="H26" s="222" t="s">
        <v>108</v>
      </c>
      <c r="I26" s="176">
        <v>1</v>
      </c>
      <c r="J26" s="440">
        <f>SUM(I26:I29)</f>
        <v>2</v>
      </c>
      <c r="K26" s="176"/>
      <c r="L26" s="176"/>
      <c r="M26" s="176" t="s">
        <v>36</v>
      </c>
      <c r="N26" s="221"/>
      <c r="O26" s="221" t="s">
        <v>109</v>
      </c>
      <c r="P26" s="221"/>
      <c r="Q26" s="223"/>
    </row>
    <row r="27" spans="2:17" ht="60" customHeight="1">
      <c r="B27" s="449"/>
      <c r="C27" s="120" t="s">
        <v>110</v>
      </c>
      <c r="D27" s="439" t="s">
        <v>111</v>
      </c>
      <c r="E27" s="369" t="s">
        <v>67</v>
      </c>
      <c r="F27" s="118" t="s">
        <v>112</v>
      </c>
      <c r="G27" s="439" t="s">
        <v>113</v>
      </c>
      <c r="H27" s="151"/>
      <c r="I27" s="118">
        <v>1</v>
      </c>
      <c r="J27" s="441"/>
      <c r="K27" s="118"/>
      <c r="L27" s="118"/>
      <c r="M27" s="118"/>
      <c r="N27" s="138"/>
      <c r="O27" s="152"/>
      <c r="P27" s="152" t="s">
        <v>114</v>
      </c>
      <c r="Q27" s="157"/>
    </row>
    <row r="28" spans="2:17" ht="60" customHeight="1">
      <c r="B28" s="449"/>
      <c r="C28" s="120" t="s">
        <v>115</v>
      </c>
      <c r="D28" s="439"/>
      <c r="E28" s="369" t="s">
        <v>67</v>
      </c>
      <c r="F28" s="118" t="s">
        <v>112</v>
      </c>
      <c r="G28" s="439"/>
      <c r="H28" s="151"/>
      <c r="I28" s="118">
        <v>0</v>
      </c>
      <c r="J28" s="441"/>
      <c r="K28" s="118"/>
      <c r="L28" s="118"/>
      <c r="M28" s="118"/>
      <c r="N28" s="138"/>
      <c r="O28" s="152"/>
      <c r="P28" s="138"/>
      <c r="Q28" s="157"/>
    </row>
    <row r="29" spans="2:17" ht="60" customHeight="1" thickBot="1">
      <c r="B29" s="450"/>
      <c r="C29" s="175" t="s">
        <v>116</v>
      </c>
      <c r="D29" s="163"/>
      <c r="E29" s="370"/>
      <c r="F29" s="163"/>
      <c r="G29" s="244"/>
      <c r="H29" s="245" t="s">
        <v>108</v>
      </c>
      <c r="I29" s="163">
        <v>0</v>
      </c>
      <c r="J29" s="442"/>
      <c r="K29" s="163"/>
      <c r="L29" s="163"/>
      <c r="M29" s="163"/>
      <c r="N29" s="164"/>
      <c r="O29" s="166"/>
      <c r="P29" s="164"/>
      <c r="Q29" s="167"/>
    </row>
    <row r="30" spans="2:17" ht="60" customHeight="1" thickBot="1">
      <c r="B30" s="142" t="s">
        <v>117</v>
      </c>
      <c r="C30" s="78" t="s">
        <v>118</v>
      </c>
      <c r="D30" s="78" t="s">
        <v>119</v>
      </c>
      <c r="E30" s="373"/>
      <c r="F30" s="299"/>
      <c r="G30" s="299" t="s">
        <v>120</v>
      </c>
      <c r="H30" s="168" t="s">
        <v>121</v>
      </c>
      <c r="I30" s="143">
        <v>1</v>
      </c>
      <c r="J30" s="143">
        <f>I30</f>
        <v>1</v>
      </c>
      <c r="K30" s="143"/>
      <c r="L30" s="143"/>
      <c r="M30" s="143" t="s">
        <v>36</v>
      </c>
      <c r="N30" s="144"/>
      <c r="O30" s="307" t="s">
        <v>122</v>
      </c>
      <c r="P30" s="144"/>
      <c r="Q30" s="300"/>
    </row>
    <row r="31" spans="2:17" ht="45.6" customHeight="1">
      <c r="B31" s="451" t="s">
        <v>123</v>
      </c>
      <c r="C31" s="124" t="s">
        <v>124</v>
      </c>
      <c r="D31" s="124" t="s">
        <v>50</v>
      </c>
      <c r="E31" s="374" t="s">
        <v>51</v>
      </c>
      <c r="F31" s="124" t="s">
        <v>125</v>
      </c>
      <c r="G31" s="124" t="s">
        <v>126</v>
      </c>
      <c r="H31" s="124"/>
      <c r="I31" s="122">
        <v>2</v>
      </c>
      <c r="J31" s="422">
        <f>SUM(I31:I35)</f>
        <v>4</v>
      </c>
      <c r="K31" s="122"/>
      <c r="L31" s="122"/>
      <c r="M31" s="122"/>
      <c r="N31" s="153"/>
      <c r="O31" s="225" t="s">
        <v>127</v>
      </c>
      <c r="P31" s="405" t="s">
        <v>128</v>
      </c>
      <c r="Q31" s="156"/>
    </row>
    <row r="32" spans="2:17" ht="45.6" customHeight="1">
      <c r="B32" s="452"/>
      <c r="C32" s="176" t="s">
        <v>129</v>
      </c>
      <c r="D32" s="176" t="s">
        <v>130</v>
      </c>
      <c r="E32" s="372" t="s">
        <v>31</v>
      </c>
      <c r="F32" s="176" t="s">
        <v>131</v>
      </c>
      <c r="G32" s="176" t="s">
        <v>132</v>
      </c>
      <c r="H32" s="178"/>
      <c r="I32" s="176">
        <v>0</v>
      </c>
      <c r="J32" s="423"/>
      <c r="K32" s="176" t="s">
        <v>133</v>
      </c>
      <c r="L32" s="176"/>
      <c r="M32" s="176"/>
      <c r="N32" s="221"/>
      <c r="O32" s="401"/>
      <c r="P32" s="221"/>
      <c r="Q32" s="223"/>
    </row>
    <row r="33" spans="2:17" ht="45.6" customHeight="1">
      <c r="B33" s="452"/>
      <c r="C33" s="178"/>
      <c r="D33" s="178"/>
      <c r="E33" s="400"/>
      <c r="F33" s="178"/>
      <c r="G33" s="178"/>
      <c r="H33" s="178"/>
      <c r="I33" s="176"/>
      <c r="J33" s="423"/>
      <c r="K33" s="176"/>
      <c r="L33" s="176"/>
      <c r="M33" s="176"/>
      <c r="N33" s="221"/>
      <c r="O33" s="401"/>
      <c r="P33" s="221"/>
      <c r="Q33" s="223"/>
    </row>
    <row r="34" spans="2:17" ht="33.950000000000003" customHeight="1">
      <c r="B34" s="452"/>
      <c r="C34" s="118" t="s">
        <v>134</v>
      </c>
      <c r="D34" s="120"/>
      <c r="E34" s="375" t="s">
        <v>51</v>
      </c>
      <c r="F34" s="219"/>
      <c r="G34" s="347" t="s">
        <v>135</v>
      </c>
      <c r="H34" s="120"/>
      <c r="I34" s="118">
        <v>1</v>
      </c>
      <c r="J34" s="423"/>
      <c r="K34" s="118"/>
      <c r="L34" s="118"/>
      <c r="M34" s="118"/>
      <c r="N34" s="138"/>
      <c r="O34" s="309"/>
      <c r="P34" s="152" t="s">
        <v>136</v>
      </c>
      <c r="Q34" s="157"/>
    </row>
    <row r="35" spans="2:17" ht="25.5" customHeight="1" thickBot="1">
      <c r="B35" s="455"/>
      <c r="C35" s="129" t="s">
        <v>137</v>
      </c>
      <c r="D35" s="129"/>
      <c r="E35" s="376"/>
      <c r="F35" s="210"/>
      <c r="G35" s="210"/>
      <c r="H35" s="129"/>
      <c r="I35" s="127">
        <v>1</v>
      </c>
      <c r="J35" s="445"/>
      <c r="K35" s="127"/>
      <c r="L35" s="127"/>
      <c r="M35" s="127"/>
      <c r="N35" s="158"/>
      <c r="O35" s="226"/>
      <c r="P35" s="160" t="s">
        <v>138</v>
      </c>
      <c r="Q35" s="161"/>
    </row>
    <row r="36" spans="2:17" ht="38.1" customHeight="1" thickBot="1">
      <c r="B36" s="142" t="s">
        <v>139</v>
      </c>
      <c r="C36" s="168" t="s">
        <v>140</v>
      </c>
      <c r="D36" s="168" t="s">
        <v>141</v>
      </c>
      <c r="E36" s="377" t="s">
        <v>142</v>
      </c>
      <c r="F36" s="236" t="s">
        <v>143</v>
      </c>
      <c r="G36" s="236"/>
      <c r="H36" s="168"/>
      <c r="I36" s="143">
        <v>1</v>
      </c>
      <c r="J36" s="143">
        <f>I36</f>
        <v>1</v>
      </c>
      <c r="K36" s="143"/>
      <c r="L36" s="143"/>
      <c r="M36" s="143" t="s">
        <v>36</v>
      </c>
      <c r="N36" s="144"/>
      <c r="O36" s="335" t="s">
        <v>144</v>
      </c>
      <c r="P36" s="146" t="s">
        <v>145</v>
      </c>
      <c r="Q36" s="300"/>
    </row>
    <row r="37" spans="2:17" ht="39" customHeight="1" thickBot="1">
      <c r="B37" s="246"/>
      <c r="C37" s="134" t="s">
        <v>146</v>
      </c>
      <c r="D37" s="134" t="s">
        <v>147</v>
      </c>
      <c r="E37" s="366" t="s">
        <v>148</v>
      </c>
      <c r="F37" s="198" t="s">
        <v>149</v>
      </c>
      <c r="G37" s="198"/>
      <c r="H37" s="134"/>
      <c r="I37" s="232"/>
      <c r="J37" s="232"/>
      <c r="K37" s="232"/>
      <c r="L37" s="232"/>
      <c r="M37" s="232"/>
      <c r="N37" s="139"/>
      <c r="O37" s="278"/>
      <c r="P37" s="277" t="s">
        <v>150</v>
      </c>
      <c r="Q37" s="248"/>
    </row>
    <row r="38" spans="2:17" ht="41.1" customHeight="1" thickBot="1">
      <c r="B38" s="295" t="s">
        <v>151</v>
      </c>
      <c r="C38" s="134" t="s">
        <v>152</v>
      </c>
      <c r="D38" s="134" t="s">
        <v>153</v>
      </c>
      <c r="E38" s="366" t="s">
        <v>154</v>
      </c>
      <c r="F38" s="134" t="s">
        <v>53</v>
      </c>
      <c r="G38" s="134" t="s">
        <v>155</v>
      </c>
      <c r="H38" s="134" t="s">
        <v>156</v>
      </c>
      <c r="I38" s="232"/>
      <c r="J38" s="232"/>
      <c r="K38" s="232"/>
      <c r="L38" s="232"/>
      <c r="M38" s="232" t="s">
        <v>36</v>
      </c>
      <c r="N38" s="256"/>
      <c r="O38" s="278" t="s">
        <v>157</v>
      </c>
      <c r="P38" s="256"/>
      <c r="Q38" s="257"/>
    </row>
    <row r="39" spans="2:17" ht="60" customHeight="1" thickBot="1">
      <c r="B39" s="169" t="s">
        <v>158</v>
      </c>
      <c r="C39" s="147" t="s">
        <v>159</v>
      </c>
      <c r="D39" s="147" t="s">
        <v>160</v>
      </c>
      <c r="E39" s="378" t="s">
        <v>41</v>
      </c>
      <c r="F39" s="147" t="s">
        <v>161</v>
      </c>
      <c r="G39" s="148"/>
      <c r="H39" s="149"/>
      <c r="I39" s="147">
        <v>2</v>
      </c>
      <c r="J39" s="147">
        <f>I39</f>
        <v>2</v>
      </c>
      <c r="K39" s="147"/>
      <c r="L39" s="147"/>
      <c r="M39" s="147" t="s">
        <v>36</v>
      </c>
      <c r="N39" s="148"/>
      <c r="O39" s="150"/>
      <c r="P39" s="148" t="s">
        <v>162</v>
      </c>
      <c r="Q39" s="183"/>
    </row>
    <row r="40" spans="2:17" ht="60" customHeight="1" thickBot="1">
      <c r="B40" s="216" t="s">
        <v>163</v>
      </c>
      <c r="C40" s="98" t="s">
        <v>164</v>
      </c>
      <c r="D40" s="98" t="s">
        <v>30</v>
      </c>
      <c r="E40" s="371" t="s">
        <v>148</v>
      </c>
      <c r="F40" s="98" t="s">
        <v>165</v>
      </c>
      <c r="G40" s="168" t="s">
        <v>166</v>
      </c>
      <c r="H40" s="324"/>
      <c r="I40" s="98">
        <v>2</v>
      </c>
      <c r="J40" s="98"/>
      <c r="K40" s="98"/>
      <c r="L40" s="98" t="s">
        <v>55</v>
      </c>
      <c r="M40" s="98"/>
      <c r="N40" s="208"/>
      <c r="O40" s="339"/>
      <c r="P40" s="325" t="s">
        <v>167</v>
      </c>
      <c r="Q40" s="326"/>
    </row>
    <row r="41" spans="2:17" ht="60" customHeight="1" thickBot="1">
      <c r="B41" s="295" t="s">
        <v>168</v>
      </c>
      <c r="C41" s="232" t="s">
        <v>169</v>
      </c>
      <c r="D41" s="232" t="s">
        <v>170</v>
      </c>
      <c r="E41" s="379"/>
      <c r="F41" s="232"/>
      <c r="G41" s="139"/>
      <c r="H41" s="256"/>
      <c r="I41" s="232"/>
      <c r="J41" s="232"/>
      <c r="K41" s="232"/>
      <c r="L41" s="232"/>
      <c r="M41" s="232"/>
      <c r="N41" s="139"/>
      <c r="O41" s="277"/>
      <c r="P41" s="139"/>
      <c r="Q41" s="248"/>
    </row>
    <row r="42" spans="2:17" ht="92.45" customHeight="1">
      <c r="B42" s="446" t="s">
        <v>171</v>
      </c>
      <c r="C42" s="97" t="s">
        <v>172</v>
      </c>
      <c r="D42" s="98" t="s">
        <v>173</v>
      </c>
      <c r="E42" s="371" t="s">
        <v>31</v>
      </c>
      <c r="F42" s="98" t="s">
        <v>174</v>
      </c>
      <c r="G42" s="98"/>
      <c r="H42" s="98" t="s">
        <v>53</v>
      </c>
      <c r="I42" s="97">
        <v>1</v>
      </c>
      <c r="J42" s="97">
        <f>I42</f>
        <v>1</v>
      </c>
      <c r="K42" s="99" t="s">
        <v>175</v>
      </c>
      <c r="L42" s="98" t="s">
        <v>35</v>
      </c>
      <c r="M42" s="98" t="s">
        <v>36</v>
      </c>
      <c r="N42" s="97"/>
      <c r="O42" s="265"/>
      <c r="P42" s="98"/>
      <c r="Q42" s="317"/>
    </row>
    <row r="43" spans="2:17" ht="92.45" customHeight="1" thickBot="1">
      <c r="B43" s="447"/>
      <c r="C43" s="97"/>
      <c r="D43" s="98"/>
      <c r="E43" s="371"/>
      <c r="F43" s="98"/>
      <c r="G43" s="98"/>
      <c r="H43" s="98"/>
      <c r="I43" s="97"/>
      <c r="J43" s="97"/>
      <c r="K43" s="99"/>
      <c r="L43" s="98"/>
      <c r="M43" s="98"/>
      <c r="N43" s="97"/>
      <c r="O43" s="342"/>
      <c r="P43" s="98"/>
      <c r="Q43" s="317"/>
    </row>
    <row r="44" spans="2:17" ht="59.1" customHeight="1">
      <c r="B44" s="424" t="s">
        <v>176</v>
      </c>
      <c r="C44" s="122" t="s">
        <v>177</v>
      </c>
      <c r="D44" s="122" t="s">
        <v>178</v>
      </c>
      <c r="E44" s="362" t="s">
        <v>179</v>
      </c>
      <c r="F44" s="122" t="s">
        <v>180</v>
      </c>
      <c r="G44" s="122"/>
      <c r="H44" s="122" t="s">
        <v>181</v>
      </c>
      <c r="I44" s="124">
        <v>2</v>
      </c>
      <c r="J44" s="124">
        <f>I44</f>
        <v>2</v>
      </c>
      <c r="K44" s="123" t="s">
        <v>182</v>
      </c>
      <c r="L44" s="122" t="s">
        <v>183</v>
      </c>
      <c r="M44" s="122" t="s">
        <v>36</v>
      </c>
      <c r="N44" s="124"/>
      <c r="O44" s="181"/>
      <c r="P44" s="406" t="s">
        <v>184</v>
      </c>
      <c r="Q44" s="171"/>
    </row>
    <row r="45" spans="2:17" ht="44.45" customHeight="1" thickBot="1">
      <c r="B45" s="432"/>
      <c r="C45" s="163" t="s">
        <v>185</v>
      </c>
      <c r="D45" s="163" t="s">
        <v>53</v>
      </c>
      <c r="E45" s="370" t="s">
        <v>148</v>
      </c>
      <c r="F45" s="163" t="s">
        <v>186</v>
      </c>
      <c r="G45" s="163"/>
      <c r="H45" s="163"/>
      <c r="I45" s="175">
        <v>0</v>
      </c>
      <c r="J45" s="175">
        <f>I45</f>
        <v>0</v>
      </c>
      <c r="K45" s="184" t="s">
        <v>70</v>
      </c>
      <c r="L45" s="163" t="s">
        <v>71</v>
      </c>
      <c r="M45" s="163" t="s">
        <v>36</v>
      </c>
      <c r="N45" s="175"/>
      <c r="O45" s="188"/>
      <c r="P45" s="407" t="s">
        <v>187</v>
      </c>
      <c r="Q45" s="186"/>
    </row>
    <row r="46" spans="2:17" ht="34.5" customHeight="1">
      <c r="B46" s="424" t="s">
        <v>188</v>
      </c>
      <c r="C46" s="124" t="s">
        <v>189</v>
      </c>
      <c r="D46" s="122"/>
      <c r="E46" s="362"/>
      <c r="F46" s="122"/>
      <c r="G46" s="122"/>
      <c r="H46" s="122"/>
      <c r="I46" s="124"/>
      <c r="J46" s="124"/>
      <c r="K46" s="123"/>
      <c r="L46" s="122"/>
      <c r="M46" s="122"/>
      <c r="N46" s="124"/>
      <c r="O46" s="181"/>
      <c r="P46" s="122"/>
      <c r="Q46" s="171"/>
    </row>
    <row r="47" spans="2:17" ht="36.950000000000003" customHeight="1">
      <c r="B47" s="431"/>
      <c r="C47" s="120" t="s">
        <v>190</v>
      </c>
      <c r="D47" s="118"/>
      <c r="E47" s="369"/>
      <c r="F47" s="118"/>
      <c r="G47" s="118"/>
      <c r="H47" s="118"/>
      <c r="I47" s="120"/>
      <c r="J47" s="120"/>
      <c r="K47" s="119"/>
      <c r="L47" s="118"/>
      <c r="M47" s="118"/>
      <c r="N47" s="120"/>
      <c r="O47" s="121"/>
      <c r="P47" s="118"/>
      <c r="Q47" s="194"/>
    </row>
    <row r="48" spans="2:17" ht="36.950000000000003" customHeight="1">
      <c r="B48" s="432"/>
      <c r="C48" s="163" t="s">
        <v>191</v>
      </c>
      <c r="D48" s="163"/>
      <c r="E48" s="370"/>
      <c r="F48" s="163"/>
      <c r="G48" s="163"/>
      <c r="H48" s="163"/>
      <c r="I48" s="175"/>
      <c r="J48" s="175"/>
      <c r="K48" s="184"/>
      <c r="L48" s="163"/>
      <c r="M48" s="163"/>
      <c r="N48" s="175"/>
      <c r="O48" s="188"/>
      <c r="P48" s="163"/>
      <c r="Q48" s="186"/>
    </row>
    <row r="49" spans="2:17" ht="32.450000000000003" customHeight="1" thickBot="1">
      <c r="B49" s="425"/>
      <c r="C49" s="355" t="s">
        <v>192</v>
      </c>
      <c r="D49" s="127"/>
      <c r="E49" s="363"/>
      <c r="F49" s="127"/>
      <c r="G49" s="127"/>
      <c r="H49" s="127"/>
      <c r="I49" s="129"/>
      <c r="J49" s="129"/>
      <c r="K49" s="128"/>
      <c r="L49" s="127"/>
      <c r="M49" s="127"/>
      <c r="N49" s="129"/>
      <c r="O49" s="182"/>
      <c r="P49" s="127"/>
      <c r="Q49" s="172"/>
    </row>
    <row r="50" spans="2:17" ht="29.45" customHeight="1">
      <c r="B50" s="433" t="s">
        <v>193</v>
      </c>
      <c r="C50" s="178" t="s">
        <v>194</v>
      </c>
      <c r="D50" s="176"/>
      <c r="E50" s="372"/>
      <c r="F50" s="176"/>
      <c r="G50" s="341" t="s">
        <v>195</v>
      </c>
      <c r="H50" s="176"/>
      <c r="I50" s="178">
        <v>0</v>
      </c>
      <c r="J50" s="429">
        <f>SUM(I50:I59)</f>
        <v>5</v>
      </c>
      <c r="K50" s="177"/>
      <c r="L50" s="176"/>
      <c r="M50" s="176"/>
      <c r="N50" s="178"/>
      <c r="O50" s="314"/>
      <c r="P50" s="408" t="s">
        <v>196</v>
      </c>
      <c r="Q50" s="180"/>
    </row>
    <row r="51" spans="2:17" ht="43.5" customHeight="1">
      <c r="B51" s="431"/>
      <c r="C51" s="120" t="s">
        <v>197</v>
      </c>
      <c r="D51" s="120" t="s">
        <v>198</v>
      </c>
      <c r="E51" s="380" t="s">
        <v>199</v>
      </c>
      <c r="F51" s="219"/>
      <c r="G51" s="219" t="s">
        <v>200</v>
      </c>
      <c r="H51" s="118" t="s">
        <v>201</v>
      </c>
      <c r="I51" s="120">
        <v>1</v>
      </c>
      <c r="J51" s="429"/>
      <c r="K51" s="119"/>
      <c r="L51" s="118"/>
      <c r="M51" s="118"/>
      <c r="N51" s="120"/>
      <c r="O51" s="121"/>
      <c r="P51" s="409" t="s">
        <v>202</v>
      </c>
      <c r="Q51" s="194"/>
    </row>
    <row r="52" spans="2:17" ht="33.950000000000003" customHeight="1">
      <c r="B52" s="431"/>
      <c r="C52" s="120" t="s">
        <v>203</v>
      </c>
      <c r="D52" s="118"/>
      <c r="E52" s="369"/>
      <c r="F52" s="118"/>
      <c r="G52" s="218" t="s">
        <v>204</v>
      </c>
      <c r="H52" s="118"/>
      <c r="I52" s="120">
        <v>0</v>
      </c>
      <c r="J52" s="429"/>
      <c r="K52" s="119"/>
      <c r="L52" s="118"/>
      <c r="M52" s="118"/>
      <c r="N52" s="120"/>
      <c r="O52" s="121"/>
      <c r="P52" s="118"/>
      <c r="Q52" s="194"/>
    </row>
    <row r="53" spans="2:17" ht="83.45" customHeight="1">
      <c r="B53" s="431"/>
      <c r="C53" s="120" t="s">
        <v>205</v>
      </c>
      <c r="D53" s="120" t="s">
        <v>206</v>
      </c>
      <c r="E53" s="380"/>
      <c r="F53" s="219"/>
      <c r="G53" s="219" t="s">
        <v>207</v>
      </c>
      <c r="H53" s="118" t="s">
        <v>208</v>
      </c>
      <c r="I53" s="120">
        <v>2</v>
      </c>
      <c r="J53" s="429"/>
      <c r="K53" s="119"/>
      <c r="L53" s="118"/>
      <c r="M53" s="118"/>
      <c r="N53" s="120"/>
      <c r="O53" s="121"/>
      <c r="P53" s="409" t="s">
        <v>209</v>
      </c>
      <c r="Q53" s="194"/>
    </row>
    <row r="54" spans="2:17" ht="30" customHeight="1">
      <c r="B54" s="431"/>
      <c r="C54" s="120" t="s">
        <v>210</v>
      </c>
      <c r="D54" s="118"/>
      <c r="E54" s="369"/>
      <c r="F54" s="118"/>
      <c r="G54" s="219" t="s">
        <v>211</v>
      </c>
      <c r="H54" s="118"/>
      <c r="I54" s="120">
        <v>0</v>
      </c>
      <c r="J54" s="429"/>
      <c r="K54" s="119"/>
      <c r="L54" s="118"/>
      <c r="M54" s="118"/>
      <c r="N54" s="120"/>
      <c r="O54" s="121"/>
      <c r="P54" s="409" t="s">
        <v>212</v>
      </c>
      <c r="Q54" s="194"/>
    </row>
    <row r="55" spans="2:17" ht="45.95" customHeight="1">
      <c r="B55" s="431"/>
      <c r="C55" s="120" t="s">
        <v>213</v>
      </c>
      <c r="D55" s="118"/>
      <c r="E55" s="369"/>
      <c r="F55" s="118"/>
      <c r="G55" s="219" t="s">
        <v>214</v>
      </c>
      <c r="H55" s="118"/>
      <c r="I55" s="120">
        <v>0</v>
      </c>
      <c r="J55" s="429"/>
      <c r="K55" s="119"/>
      <c r="L55" s="118"/>
      <c r="M55" s="118"/>
      <c r="N55" s="120"/>
      <c r="O55" s="121"/>
      <c r="P55" s="409" t="s">
        <v>215</v>
      </c>
      <c r="Q55" s="194"/>
    </row>
    <row r="56" spans="2:17" ht="47.1" customHeight="1">
      <c r="B56" s="431"/>
      <c r="C56" s="120" t="s">
        <v>216</v>
      </c>
      <c r="D56" s="118"/>
      <c r="E56" s="369"/>
      <c r="F56" s="118"/>
      <c r="G56" s="219" t="s">
        <v>217</v>
      </c>
      <c r="H56" s="118"/>
      <c r="I56" s="120">
        <v>0</v>
      </c>
      <c r="J56" s="429"/>
      <c r="K56" s="119"/>
      <c r="L56" s="118"/>
      <c r="M56" s="118"/>
      <c r="N56" s="120"/>
      <c r="O56" s="121"/>
      <c r="P56" s="118"/>
      <c r="Q56" s="194"/>
    </row>
    <row r="57" spans="2:17" ht="42.6" customHeight="1">
      <c r="B57" s="431"/>
      <c r="C57" s="120" t="s">
        <v>218</v>
      </c>
      <c r="D57" s="118"/>
      <c r="E57" s="369"/>
      <c r="F57" s="118"/>
      <c r="G57" s="219" t="s">
        <v>219</v>
      </c>
      <c r="H57" s="118"/>
      <c r="I57" s="120">
        <v>2</v>
      </c>
      <c r="J57" s="429"/>
      <c r="K57" s="119"/>
      <c r="L57" s="118"/>
      <c r="M57" s="118"/>
      <c r="N57" s="120"/>
      <c r="O57" s="121"/>
      <c r="P57" s="118"/>
      <c r="Q57" s="194"/>
    </row>
    <row r="58" spans="2:17" ht="29.1" customHeight="1">
      <c r="B58" s="431"/>
      <c r="C58" s="120" t="s">
        <v>220</v>
      </c>
      <c r="D58" s="118"/>
      <c r="E58" s="369"/>
      <c r="F58" s="118"/>
      <c r="G58" s="118"/>
      <c r="H58" s="118"/>
      <c r="I58" s="120">
        <v>0</v>
      </c>
      <c r="J58" s="429"/>
      <c r="K58" s="119"/>
      <c r="L58" s="118"/>
      <c r="M58" s="118"/>
      <c r="N58" s="120"/>
      <c r="O58" s="121"/>
      <c r="P58" s="118"/>
      <c r="Q58" s="194"/>
    </row>
    <row r="59" spans="2:17" ht="18" customHeight="1" thickBot="1">
      <c r="B59" s="425"/>
      <c r="C59" s="129" t="s">
        <v>221</v>
      </c>
      <c r="D59" s="127"/>
      <c r="E59" s="363"/>
      <c r="F59" s="127"/>
      <c r="G59" s="127"/>
      <c r="H59" s="127"/>
      <c r="I59" s="129">
        <v>0</v>
      </c>
      <c r="J59" s="427"/>
      <c r="K59" s="128"/>
      <c r="L59" s="127"/>
      <c r="M59" s="127"/>
      <c r="N59" s="129"/>
      <c r="O59" s="182"/>
      <c r="P59" s="127"/>
      <c r="Q59" s="172"/>
    </row>
    <row r="60" spans="2:17" ht="81.599999999999994" customHeight="1">
      <c r="B60" s="428" t="s">
        <v>222</v>
      </c>
      <c r="C60" s="176" t="s">
        <v>223</v>
      </c>
      <c r="D60" s="176" t="s">
        <v>224</v>
      </c>
      <c r="E60" s="372" t="s">
        <v>148</v>
      </c>
      <c r="F60" s="176" t="s">
        <v>225</v>
      </c>
      <c r="G60" s="177" t="s">
        <v>226</v>
      </c>
      <c r="H60" s="98" t="s">
        <v>53</v>
      </c>
      <c r="I60" s="178">
        <v>1</v>
      </c>
      <c r="J60" s="178">
        <f>I60+I61</f>
        <v>2</v>
      </c>
      <c r="K60" s="176" t="s">
        <v>227</v>
      </c>
      <c r="L60" s="176" t="s">
        <v>71</v>
      </c>
      <c r="M60" s="176" t="s">
        <v>36</v>
      </c>
      <c r="N60" s="178"/>
      <c r="O60" s="179"/>
      <c r="P60" s="408" t="s">
        <v>228</v>
      </c>
      <c r="Q60" s="180"/>
    </row>
    <row r="61" spans="2:17" ht="25.5" customHeight="1" thickBot="1">
      <c r="B61" s="428"/>
      <c r="C61" s="163" t="s">
        <v>229</v>
      </c>
      <c r="D61" s="163"/>
      <c r="E61" s="370"/>
      <c r="F61" s="163"/>
      <c r="G61" s="184"/>
      <c r="H61" s="184"/>
      <c r="I61" s="175">
        <v>1</v>
      </c>
      <c r="J61" s="175"/>
      <c r="K61" s="163"/>
      <c r="L61" s="163"/>
      <c r="M61" s="163"/>
      <c r="N61" s="175"/>
      <c r="O61" s="185"/>
      <c r="P61" s="163" t="s">
        <v>230</v>
      </c>
      <c r="Q61" s="186"/>
    </row>
    <row r="62" spans="2:17" ht="30" customHeight="1">
      <c r="B62" s="430" t="s">
        <v>231</v>
      </c>
      <c r="C62" s="122" t="s">
        <v>232</v>
      </c>
      <c r="D62" s="122" t="s">
        <v>233</v>
      </c>
      <c r="E62" s="362" t="s">
        <v>60</v>
      </c>
      <c r="F62" s="122" t="s">
        <v>234</v>
      </c>
      <c r="G62" s="123"/>
      <c r="H62" s="123" t="s">
        <v>55</v>
      </c>
      <c r="I62" s="124">
        <v>0</v>
      </c>
      <c r="J62" s="426">
        <f>SUM(I62:I63)</f>
        <v>1</v>
      </c>
      <c r="K62" s="122" t="s">
        <v>70</v>
      </c>
      <c r="L62" s="122" t="s">
        <v>71</v>
      </c>
      <c r="M62" s="122" t="s">
        <v>36</v>
      </c>
      <c r="N62" s="124"/>
      <c r="O62" s="181"/>
      <c r="P62" s="406" t="s">
        <v>235</v>
      </c>
      <c r="Q62" s="171"/>
    </row>
    <row r="63" spans="2:17" ht="44.1" customHeight="1" thickBot="1">
      <c r="B63" s="428"/>
      <c r="C63" s="163" t="s">
        <v>236</v>
      </c>
      <c r="D63" s="163" t="s">
        <v>237</v>
      </c>
      <c r="E63" s="370" t="s">
        <v>142</v>
      </c>
      <c r="F63" s="163" t="s">
        <v>238</v>
      </c>
      <c r="G63" s="195" t="s">
        <v>239</v>
      </c>
      <c r="H63" s="187"/>
      <c r="I63" s="175">
        <v>1</v>
      </c>
      <c r="J63" s="429"/>
      <c r="K63" s="184" t="s">
        <v>240</v>
      </c>
      <c r="L63" s="163" t="s">
        <v>62</v>
      </c>
      <c r="M63" s="163" t="s">
        <v>36</v>
      </c>
      <c r="N63" s="175"/>
      <c r="O63" s="188"/>
      <c r="P63" s="163"/>
      <c r="Q63" s="186"/>
    </row>
    <row r="64" spans="2:17" ht="60" customHeight="1" thickBot="1">
      <c r="B64" s="102" t="s">
        <v>241</v>
      </c>
      <c r="C64" s="88" t="s">
        <v>242</v>
      </c>
      <c r="D64" s="88" t="s">
        <v>243</v>
      </c>
      <c r="E64" s="381" t="s">
        <v>51</v>
      </c>
      <c r="F64" s="88" t="s">
        <v>244</v>
      </c>
      <c r="G64" s="60"/>
      <c r="H64" s="60" t="s">
        <v>245</v>
      </c>
      <c r="I64" s="58">
        <v>1</v>
      </c>
      <c r="J64" s="58">
        <f>I64</f>
        <v>1</v>
      </c>
      <c r="K64" s="88" t="s">
        <v>70</v>
      </c>
      <c r="L64" s="88" t="s">
        <v>71</v>
      </c>
      <c r="M64" s="88" t="s">
        <v>246</v>
      </c>
      <c r="N64" s="58"/>
      <c r="O64" s="61"/>
      <c r="P64" s="410" t="s">
        <v>247</v>
      </c>
      <c r="Q64" s="189"/>
    </row>
    <row r="65" spans="2:17" ht="60" customHeight="1" thickBot="1">
      <c r="B65" s="192" t="s">
        <v>248</v>
      </c>
      <c r="C65" s="96" t="s">
        <v>249</v>
      </c>
      <c r="D65" s="96" t="s">
        <v>250</v>
      </c>
      <c r="E65" s="382" t="s">
        <v>142</v>
      </c>
      <c r="F65" s="96" t="s">
        <v>251</v>
      </c>
      <c r="G65" s="78" t="s">
        <v>252</v>
      </c>
      <c r="H65" s="86"/>
      <c r="I65" s="21">
        <v>1</v>
      </c>
      <c r="J65" s="21">
        <f>I65</f>
        <v>1</v>
      </c>
      <c r="K65" s="96" t="s">
        <v>70</v>
      </c>
      <c r="L65" s="96" t="s">
        <v>71</v>
      </c>
      <c r="M65" s="96" t="s">
        <v>36</v>
      </c>
      <c r="N65" s="21"/>
      <c r="O65" s="87"/>
      <c r="P65" s="411" t="s">
        <v>253</v>
      </c>
      <c r="Q65" s="193"/>
    </row>
    <row r="66" spans="2:17" ht="60" customHeight="1">
      <c r="B66" s="424" t="s">
        <v>254</v>
      </c>
      <c r="C66" s="124" t="s">
        <v>255</v>
      </c>
      <c r="D66" s="122" t="s">
        <v>256</v>
      </c>
      <c r="E66" s="362"/>
      <c r="F66" s="122"/>
      <c r="G66" s="122" t="s">
        <v>257</v>
      </c>
      <c r="H66" s="123" t="s">
        <v>258</v>
      </c>
      <c r="I66" s="124">
        <v>0</v>
      </c>
      <c r="J66" s="426">
        <f>SUM(I66:I74)</f>
        <v>15</v>
      </c>
      <c r="K66" s="122"/>
      <c r="L66" s="122"/>
      <c r="M66" s="122"/>
      <c r="N66" s="124"/>
      <c r="O66" s="181"/>
      <c r="P66" s="122"/>
      <c r="Q66" s="171"/>
    </row>
    <row r="67" spans="2:17" ht="80.45" customHeight="1">
      <c r="B67" s="431"/>
      <c r="C67" s="120" t="s">
        <v>259</v>
      </c>
      <c r="D67" s="120" t="s">
        <v>260</v>
      </c>
      <c r="E67" s="369"/>
      <c r="F67" s="118"/>
      <c r="G67" s="118" t="s">
        <v>261</v>
      </c>
      <c r="H67" s="119"/>
      <c r="I67" s="120">
        <v>3</v>
      </c>
      <c r="J67" s="429"/>
      <c r="K67" s="118"/>
      <c r="L67" s="118"/>
      <c r="M67" s="118"/>
      <c r="N67" s="120"/>
      <c r="O67" s="121"/>
      <c r="P67" s="118"/>
      <c r="Q67" s="194"/>
    </row>
    <row r="68" spans="2:17" ht="102.6" customHeight="1">
      <c r="B68" s="431"/>
      <c r="C68" s="118" t="s">
        <v>262</v>
      </c>
      <c r="D68" s="120" t="s">
        <v>263</v>
      </c>
      <c r="E68" s="369"/>
      <c r="F68" s="118"/>
      <c r="G68" s="118" t="s">
        <v>264</v>
      </c>
      <c r="H68" s="119" t="s">
        <v>265</v>
      </c>
      <c r="I68" s="120">
        <v>2</v>
      </c>
      <c r="J68" s="429"/>
      <c r="K68" s="118"/>
      <c r="L68" s="118"/>
      <c r="M68" s="118"/>
      <c r="N68" s="120"/>
      <c r="O68" s="121"/>
      <c r="P68" s="118"/>
      <c r="Q68" s="194"/>
    </row>
    <row r="69" spans="2:17" ht="78" customHeight="1">
      <c r="B69" s="431"/>
      <c r="C69" s="120" t="s">
        <v>266</v>
      </c>
      <c r="D69" s="120" t="s">
        <v>267</v>
      </c>
      <c r="E69" s="369"/>
      <c r="F69" s="118"/>
      <c r="G69" s="120" t="s">
        <v>268</v>
      </c>
      <c r="H69" s="119"/>
      <c r="I69" s="120">
        <v>2</v>
      </c>
      <c r="J69" s="429"/>
      <c r="K69" s="118"/>
      <c r="L69" s="118"/>
      <c r="M69" s="118"/>
      <c r="N69" s="120"/>
      <c r="O69" s="121"/>
      <c r="P69" s="118"/>
      <c r="Q69" s="194"/>
    </row>
    <row r="70" spans="2:17" ht="39.950000000000003" customHeight="1">
      <c r="B70" s="431"/>
      <c r="C70" s="120" t="s">
        <v>269</v>
      </c>
      <c r="D70" s="120" t="s">
        <v>270</v>
      </c>
      <c r="E70" s="369"/>
      <c r="F70" s="118"/>
      <c r="G70" s="120" t="s">
        <v>271</v>
      </c>
      <c r="H70" s="119"/>
      <c r="I70" s="120">
        <v>1</v>
      </c>
      <c r="J70" s="429"/>
      <c r="K70" s="118"/>
      <c r="L70" s="118"/>
      <c r="M70" s="118"/>
      <c r="N70" s="120"/>
      <c r="O70" s="121"/>
      <c r="P70" s="118"/>
      <c r="Q70" s="194"/>
    </row>
    <row r="71" spans="2:17" ht="38.1" customHeight="1">
      <c r="B71" s="431"/>
      <c r="C71" s="120" t="s">
        <v>272</v>
      </c>
      <c r="D71" s="118" t="s">
        <v>273</v>
      </c>
      <c r="E71" s="369"/>
      <c r="F71" s="118"/>
      <c r="G71" s="120"/>
      <c r="H71" s="119"/>
      <c r="I71" s="120">
        <v>3</v>
      </c>
      <c r="J71" s="429"/>
      <c r="K71" s="118"/>
      <c r="L71" s="118"/>
      <c r="M71" s="118"/>
      <c r="N71" s="120"/>
      <c r="O71" s="121"/>
      <c r="P71" s="118"/>
      <c r="Q71" s="194"/>
    </row>
    <row r="72" spans="2:17" ht="29.1" customHeight="1">
      <c r="B72" s="431"/>
      <c r="C72" s="120" t="s">
        <v>274</v>
      </c>
      <c r="D72" s="118" t="s">
        <v>273</v>
      </c>
      <c r="E72" s="369"/>
      <c r="F72" s="118"/>
      <c r="G72" s="120"/>
      <c r="H72" s="119"/>
      <c r="I72" s="120">
        <v>2</v>
      </c>
      <c r="J72" s="429"/>
      <c r="K72" s="118"/>
      <c r="L72" s="118"/>
      <c r="M72" s="118"/>
      <c r="N72" s="120"/>
      <c r="O72" s="121"/>
      <c r="P72" s="118"/>
      <c r="Q72" s="194"/>
    </row>
    <row r="73" spans="2:17" ht="37.5" customHeight="1">
      <c r="B73" s="431"/>
      <c r="C73" s="120" t="s">
        <v>275</v>
      </c>
      <c r="D73" s="120" t="s">
        <v>276</v>
      </c>
      <c r="E73" s="369"/>
      <c r="F73" s="118"/>
      <c r="G73" s="120" t="s">
        <v>277</v>
      </c>
      <c r="H73" s="119"/>
      <c r="I73" s="120">
        <v>1</v>
      </c>
      <c r="J73" s="429"/>
      <c r="K73" s="118"/>
      <c r="L73" s="118"/>
      <c r="M73" s="118"/>
      <c r="N73" s="120"/>
      <c r="O73" s="121"/>
      <c r="P73" s="118"/>
      <c r="Q73" s="194"/>
    </row>
    <row r="74" spans="2:17" ht="27.6" customHeight="1" thickBot="1">
      <c r="B74" s="432"/>
      <c r="C74" s="175" t="s">
        <v>278</v>
      </c>
      <c r="D74" s="175"/>
      <c r="E74" s="370"/>
      <c r="F74" s="163"/>
      <c r="G74" s="175"/>
      <c r="H74" s="184"/>
      <c r="I74" s="175">
        <v>1</v>
      </c>
      <c r="J74" s="429"/>
      <c r="K74" s="163"/>
      <c r="L74" s="163"/>
      <c r="M74" s="163"/>
      <c r="N74" s="175"/>
      <c r="O74" s="188"/>
      <c r="P74" s="163"/>
      <c r="Q74" s="186"/>
    </row>
    <row r="75" spans="2:17" ht="60" customHeight="1">
      <c r="B75" s="424" t="s">
        <v>279</v>
      </c>
      <c r="C75" s="122" t="s">
        <v>280</v>
      </c>
      <c r="D75" s="417" t="s">
        <v>281</v>
      </c>
      <c r="E75" s="362"/>
      <c r="F75" s="122"/>
      <c r="G75" s="417" t="s">
        <v>282</v>
      </c>
      <c r="H75" s="123"/>
      <c r="I75" s="124">
        <v>5</v>
      </c>
      <c r="J75" s="124">
        <f>SUM(I75:I77)</f>
        <v>7</v>
      </c>
      <c r="K75" s="122"/>
      <c r="L75" s="122"/>
      <c r="M75" s="122"/>
      <c r="N75" s="124"/>
      <c r="O75" s="181"/>
      <c r="P75" s="122"/>
      <c r="Q75" s="171"/>
    </row>
    <row r="76" spans="2:17" ht="60" customHeight="1">
      <c r="B76" s="431"/>
      <c r="C76" s="118" t="s">
        <v>283</v>
      </c>
      <c r="D76" s="418"/>
      <c r="E76" s="369"/>
      <c r="F76" s="118"/>
      <c r="G76" s="418"/>
      <c r="H76" s="119"/>
      <c r="I76" s="120">
        <v>0</v>
      </c>
      <c r="J76" s="120"/>
      <c r="K76" s="118"/>
      <c r="L76" s="118"/>
      <c r="M76" s="118"/>
      <c r="N76" s="120"/>
      <c r="O76" s="121"/>
      <c r="P76" s="118"/>
      <c r="Q76" s="194"/>
    </row>
    <row r="77" spans="2:17" ht="193.5" customHeight="1" thickBot="1">
      <c r="B77" s="432"/>
      <c r="C77" s="163" t="s">
        <v>284</v>
      </c>
      <c r="D77" s="175" t="s">
        <v>285</v>
      </c>
      <c r="E77" s="370"/>
      <c r="F77" s="163"/>
      <c r="G77" s="175" t="s">
        <v>286</v>
      </c>
      <c r="H77" s="184"/>
      <c r="I77" s="175">
        <v>2</v>
      </c>
      <c r="J77" s="175"/>
      <c r="K77" s="163"/>
      <c r="L77" s="163"/>
      <c r="M77" s="163"/>
      <c r="N77" s="175"/>
      <c r="O77" s="188"/>
      <c r="P77" s="163"/>
      <c r="Q77" s="186"/>
    </row>
    <row r="78" spans="2:17" ht="51.6" customHeight="1">
      <c r="B78" s="424" t="s">
        <v>287</v>
      </c>
      <c r="C78" s="124" t="s">
        <v>288</v>
      </c>
      <c r="D78" s="124"/>
      <c r="E78" s="362" t="s">
        <v>148</v>
      </c>
      <c r="F78" s="122" t="s">
        <v>289</v>
      </c>
      <c r="G78" s="124"/>
      <c r="H78" s="123"/>
      <c r="I78" s="124">
        <v>1</v>
      </c>
      <c r="J78" s="426">
        <f>SUM(I78:I79)</f>
        <v>1</v>
      </c>
      <c r="K78" s="122"/>
      <c r="L78" s="122"/>
      <c r="M78" s="122"/>
      <c r="N78" s="124"/>
      <c r="O78" s="181"/>
      <c r="P78" s="406" t="s">
        <v>290</v>
      </c>
      <c r="Q78" s="171"/>
    </row>
    <row r="79" spans="2:17" ht="52.5" customHeight="1" thickBot="1">
      <c r="B79" s="425"/>
      <c r="C79" s="129" t="s">
        <v>291</v>
      </c>
      <c r="D79" s="129"/>
      <c r="E79" s="363"/>
      <c r="F79" s="127"/>
      <c r="G79" s="129"/>
      <c r="H79" s="128"/>
      <c r="I79" s="129">
        <v>0</v>
      </c>
      <c r="J79" s="427"/>
      <c r="K79" s="127"/>
      <c r="L79" s="127"/>
      <c r="M79" s="127"/>
      <c r="N79" s="129"/>
      <c r="O79" s="182"/>
      <c r="P79" s="127"/>
      <c r="Q79" s="172"/>
    </row>
    <row r="80" spans="2:17" ht="34.5" customHeight="1">
      <c r="B80" s="433" t="s">
        <v>292</v>
      </c>
      <c r="C80" s="178" t="s">
        <v>293</v>
      </c>
      <c r="D80" s="178"/>
      <c r="E80" s="372"/>
      <c r="F80" s="176"/>
      <c r="G80" s="178" t="s">
        <v>294</v>
      </c>
      <c r="H80" s="177"/>
      <c r="I80" s="178">
        <v>3</v>
      </c>
      <c r="J80" s="429">
        <f>SUM(I80:I82)</f>
        <v>7</v>
      </c>
      <c r="K80" s="176"/>
      <c r="L80" s="176"/>
      <c r="M80" s="176"/>
      <c r="N80" s="178"/>
      <c r="O80" s="314"/>
      <c r="P80" s="176"/>
      <c r="Q80" s="180"/>
    </row>
    <row r="81" spans="2:17" ht="24.95" customHeight="1">
      <c r="B81" s="431"/>
      <c r="C81" s="120" t="s">
        <v>295</v>
      </c>
      <c r="D81" s="120"/>
      <c r="E81" s="369"/>
      <c r="F81" s="118"/>
      <c r="G81" s="120" t="s">
        <v>294</v>
      </c>
      <c r="H81" s="119"/>
      <c r="I81" s="120">
        <v>1</v>
      </c>
      <c r="J81" s="429"/>
      <c r="K81" s="118"/>
      <c r="L81" s="118"/>
      <c r="M81" s="118"/>
      <c r="N81" s="120"/>
      <c r="O81" s="121"/>
      <c r="P81" s="118"/>
      <c r="Q81" s="194"/>
    </row>
    <row r="82" spans="2:17" ht="24.6" customHeight="1" thickBot="1">
      <c r="B82" s="432"/>
      <c r="C82" s="175" t="s">
        <v>296</v>
      </c>
      <c r="D82" s="175"/>
      <c r="E82" s="370"/>
      <c r="F82" s="163"/>
      <c r="G82" s="175" t="s">
        <v>297</v>
      </c>
      <c r="H82" s="184"/>
      <c r="I82" s="175">
        <v>3</v>
      </c>
      <c r="J82" s="429"/>
      <c r="K82" s="163"/>
      <c r="L82" s="163"/>
      <c r="M82" s="163"/>
      <c r="N82" s="175"/>
      <c r="O82" s="188"/>
      <c r="P82" s="163"/>
      <c r="Q82" s="186"/>
    </row>
    <row r="83" spans="2:17" ht="24.6" customHeight="1" thickBot="1">
      <c r="B83" s="295"/>
      <c r="C83" s="134" t="s">
        <v>298</v>
      </c>
      <c r="D83" s="134"/>
      <c r="E83" s="379"/>
      <c r="F83" s="232"/>
      <c r="G83" s="134"/>
      <c r="H83" s="224"/>
      <c r="I83" s="134"/>
      <c r="J83" s="134"/>
      <c r="K83" s="232"/>
      <c r="L83" s="232"/>
      <c r="M83" s="232"/>
      <c r="N83" s="134"/>
      <c r="O83" s="233"/>
      <c r="P83" s="232"/>
      <c r="Q83" s="234"/>
    </row>
    <row r="84" spans="2:17" ht="51.6" customHeight="1" thickBot="1">
      <c r="B84" s="141" t="s">
        <v>299</v>
      </c>
      <c r="C84" s="114" t="s">
        <v>300</v>
      </c>
      <c r="D84" s="114"/>
      <c r="E84" s="383" t="s">
        <v>67</v>
      </c>
      <c r="F84" s="280"/>
      <c r="G84" s="273"/>
      <c r="H84" s="281" t="s">
        <v>301</v>
      </c>
      <c r="I84" s="79"/>
      <c r="J84" s="79"/>
      <c r="K84" s="114" t="s">
        <v>133</v>
      </c>
      <c r="L84" s="114"/>
      <c r="M84" s="114" t="s">
        <v>246</v>
      </c>
      <c r="N84" s="79"/>
      <c r="O84" s="117"/>
      <c r="P84" s="412" t="s">
        <v>302</v>
      </c>
      <c r="Q84" s="282"/>
    </row>
    <row r="85" spans="2:17" ht="107.1" customHeight="1" thickBot="1">
      <c r="B85" s="136" t="s">
        <v>303</v>
      </c>
      <c r="C85" s="137" t="s">
        <v>304</v>
      </c>
      <c r="D85" s="137" t="s">
        <v>50</v>
      </c>
      <c r="E85" s="384" t="s">
        <v>305</v>
      </c>
      <c r="F85" s="238" t="s">
        <v>305</v>
      </c>
      <c r="G85" s="144"/>
      <c r="H85" s="240" t="s">
        <v>306</v>
      </c>
      <c r="I85" s="78">
        <v>2</v>
      </c>
      <c r="J85" s="78">
        <f>I85</f>
        <v>2</v>
      </c>
      <c r="K85" s="137" t="s">
        <v>70</v>
      </c>
      <c r="L85" s="137" t="s">
        <v>71</v>
      </c>
      <c r="M85" s="137" t="s">
        <v>36</v>
      </c>
      <c r="N85" s="78"/>
      <c r="O85" s="84"/>
      <c r="P85" s="137"/>
      <c r="Q85" s="239"/>
    </row>
    <row r="86" spans="2:17" ht="43.5" customHeight="1">
      <c r="B86" s="437" t="s">
        <v>307</v>
      </c>
      <c r="C86" s="124" t="s">
        <v>308</v>
      </c>
      <c r="D86" s="122"/>
      <c r="E86" s="362"/>
      <c r="F86" s="122"/>
      <c r="G86" s="426" t="s">
        <v>309</v>
      </c>
      <c r="H86" s="225"/>
      <c r="I86" s="124"/>
      <c r="J86" s="124"/>
      <c r="K86" s="122"/>
      <c r="L86" s="122"/>
      <c r="M86" s="122"/>
      <c r="N86" s="124"/>
      <c r="O86" s="181"/>
      <c r="P86" s="406" t="s">
        <v>310</v>
      </c>
      <c r="Q86" s="171"/>
    </row>
    <row r="87" spans="2:17" ht="39" customHeight="1" thickBot="1">
      <c r="B87" s="438"/>
      <c r="C87" s="129" t="s">
        <v>311</v>
      </c>
      <c r="D87" s="127"/>
      <c r="E87" s="363"/>
      <c r="F87" s="127"/>
      <c r="G87" s="427"/>
      <c r="H87" s="226"/>
      <c r="I87" s="129"/>
      <c r="J87" s="129"/>
      <c r="K87" s="127"/>
      <c r="L87" s="127"/>
      <c r="M87" s="127"/>
      <c r="N87" s="129"/>
      <c r="O87" s="182"/>
      <c r="P87" s="127"/>
      <c r="Q87" s="172"/>
    </row>
    <row r="88" spans="2:17" ht="60" customHeight="1" thickBot="1">
      <c r="B88" s="141" t="s">
        <v>312</v>
      </c>
      <c r="C88" s="114" t="s">
        <v>313</v>
      </c>
      <c r="D88" s="114" t="s">
        <v>314</v>
      </c>
      <c r="E88" s="383" t="s">
        <v>148</v>
      </c>
      <c r="F88" s="114" t="s">
        <v>315</v>
      </c>
      <c r="G88" s="115"/>
      <c r="H88" s="115" t="s">
        <v>316</v>
      </c>
      <c r="I88" s="79">
        <v>1</v>
      </c>
      <c r="J88" s="79">
        <f>I88</f>
        <v>1</v>
      </c>
      <c r="K88" s="114" t="s">
        <v>70</v>
      </c>
      <c r="L88" s="114" t="s">
        <v>71</v>
      </c>
      <c r="M88" s="114" t="s">
        <v>317</v>
      </c>
      <c r="N88" s="79"/>
      <c r="O88" s="117"/>
      <c r="P88" s="412" t="s">
        <v>318</v>
      </c>
      <c r="Q88" s="114"/>
    </row>
    <row r="89" spans="2:17" ht="60" customHeight="1" thickBot="1">
      <c r="B89" s="420" t="s">
        <v>319</v>
      </c>
      <c r="C89" s="88" t="s">
        <v>320</v>
      </c>
      <c r="D89" s="88" t="s">
        <v>321</v>
      </c>
      <c r="E89" s="381" t="s">
        <v>322</v>
      </c>
      <c r="F89" s="88" t="s">
        <v>174</v>
      </c>
      <c r="G89" s="60"/>
      <c r="H89" s="60" t="s">
        <v>323</v>
      </c>
      <c r="I89" s="58">
        <v>1</v>
      </c>
      <c r="J89" s="58">
        <f>I89</f>
        <v>1</v>
      </c>
      <c r="K89" s="88" t="s">
        <v>324</v>
      </c>
      <c r="L89" s="88" t="s">
        <v>71</v>
      </c>
      <c r="M89" s="88" t="s">
        <v>36</v>
      </c>
      <c r="N89" s="58"/>
      <c r="O89" s="61"/>
      <c r="P89" s="410" t="s">
        <v>325</v>
      </c>
      <c r="Q89" s="88"/>
    </row>
    <row r="90" spans="2:17" ht="60" customHeight="1" thickBot="1">
      <c r="B90" s="421"/>
      <c r="C90" s="88" t="s">
        <v>326</v>
      </c>
      <c r="D90" s="88" t="s">
        <v>321</v>
      </c>
      <c r="E90" s="381" t="s">
        <v>31</v>
      </c>
      <c r="F90" s="88" t="s">
        <v>327</v>
      </c>
      <c r="G90" s="60"/>
      <c r="H90" s="60"/>
      <c r="I90" s="58"/>
      <c r="J90" s="58"/>
      <c r="K90" s="88"/>
      <c r="L90" s="88"/>
      <c r="M90" s="88"/>
      <c r="N90" s="58"/>
      <c r="O90" s="61"/>
      <c r="P90" s="410"/>
      <c r="Q90" s="88"/>
    </row>
    <row r="91" spans="2:17" ht="60" customHeight="1" thickBot="1">
      <c r="B91" s="107" t="s">
        <v>328</v>
      </c>
      <c r="C91" s="88" t="s">
        <v>329</v>
      </c>
      <c r="D91" s="88" t="s">
        <v>330</v>
      </c>
      <c r="E91" s="381" t="s">
        <v>331</v>
      </c>
      <c r="F91" s="88" t="s">
        <v>332</v>
      </c>
      <c r="G91" s="60"/>
      <c r="H91" s="60" t="s">
        <v>333</v>
      </c>
      <c r="I91" s="58">
        <v>2</v>
      </c>
      <c r="J91" s="58">
        <f>I91</f>
        <v>2</v>
      </c>
      <c r="K91" s="88" t="s">
        <v>70</v>
      </c>
      <c r="L91" s="88" t="s">
        <v>334</v>
      </c>
      <c r="M91" s="88" t="s">
        <v>36</v>
      </c>
      <c r="N91" s="58"/>
      <c r="O91" s="61"/>
      <c r="P91" s="88"/>
      <c r="Q91" s="88"/>
    </row>
    <row r="92" spans="2:17" ht="117.6" customHeight="1" thickBot="1">
      <c r="B92" s="136" t="s">
        <v>335</v>
      </c>
      <c r="C92" s="137" t="s">
        <v>336</v>
      </c>
      <c r="D92" s="137" t="s">
        <v>173</v>
      </c>
      <c r="E92" s="384" t="s">
        <v>31</v>
      </c>
      <c r="F92" s="137" t="s">
        <v>337</v>
      </c>
      <c r="G92" s="83"/>
      <c r="H92" s="83" t="s">
        <v>338</v>
      </c>
      <c r="I92" s="137">
        <v>0</v>
      </c>
      <c r="J92" s="137">
        <f>I92</f>
        <v>0</v>
      </c>
      <c r="K92" s="137" t="s">
        <v>339</v>
      </c>
      <c r="L92" s="137" t="s">
        <v>55</v>
      </c>
      <c r="M92" s="137" t="s">
        <v>36</v>
      </c>
      <c r="N92" s="78"/>
      <c r="O92" s="84"/>
      <c r="P92" s="137"/>
      <c r="Q92" s="137"/>
    </row>
    <row r="93" spans="2:17" ht="66.599999999999994" customHeight="1" thickBot="1">
      <c r="B93" s="170" t="s">
        <v>340</v>
      </c>
      <c r="C93" s="78" t="s">
        <v>341</v>
      </c>
      <c r="D93" s="78" t="s">
        <v>173</v>
      </c>
      <c r="E93" s="385" t="s">
        <v>31</v>
      </c>
      <c r="F93" s="78"/>
      <c r="G93" s="220" t="s">
        <v>342</v>
      </c>
      <c r="H93" s="78" t="s">
        <v>343</v>
      </c>
      <c r="I93" s="78">
        <v>1</v>
      </c>
      <c r="J93" s="137">
        <f t="shared" ref="J93:J103" si="0">I93</f>
        <v>1</v>
      </c>
      <c r="K93" s="78" t="s">
        <v>344</v>
      </c>
      <c r="L93" s="78" t="s">
        <v>345</v>
      </c>
      <c r="M93" s="137" t="s">
        <v>36</v>
      </c>
      <c r="N93" s="78"/>
      <c r="O93" s="84"/>
      <c r="P93" s="137"/>
      <c r="Q93" s="137"/>
    </row>
    <row r="94" spans="2:17" ht="84" customHeight="1">
      <c r="B94" s="434" t="s">
        <v>346</v>
      </c>
      <c r="C94" s="124" t="s">
        <v>347</v>
      </c>
      <c r="D94" s="124" t="s">
        <v>348</v>
      </c>
      <c r="E94" s="374"/>
      <c r="F94" s="124"/>
      <c r="G94" s="220" t="s">
        <v>349</v>
      </c>
      <c r="H94" s="124"/>
      <c r="I94" s="124">
        <v>1</v>
      </c>
      <c r="J94" s="422">
        <f>SUM(I94:I96)</f>
        <v>2</v>
      </c>
      <c r="K94" s="124"/>
      <c r="L94" s="124"/>
      <c r="M94" s="122"/>
      <c r="N94" s="124"/>
      <c r="O94" s="181"/>
      <c r="P94" s="122"/>
      <c r="Q94" s="171"/>
    </row>
    <row r="95" spans="2:17" ht="51.95" customHeight="1">
      <c r="B95" s="435"/>
      <c r="C95" s="120" t="s">
        <v>350</v>
      </c>
      <c r="D95" s="120" t="s">
        <v>348</v>
      </c>
      <c r="E95" s="386"/>
      <c r="F95" s="120"/>
      <c r="G95" s="218" t="s">
        <v>351</v>
      </c>
      <c r="H95" s="120"/>
      <c r="I95" s="120">
        <v>1</v>
      </c>
      <c r="J95" s="423"/>
      <c r="K95" s="120"/>
      <c r="L95" s="120"/>
      <c r="M95" s="118"/>
      <c r="N95" s="120"/>
      <c r="O95" s="121"/>
      <c r="P95" s="118"/>
      <c r="Q95" s="194"/>
    </row>
    <row r="96" spans="2:17" ht="24.95" customHeight="1" thickBot="1">
      <c r="B96" s="436"/>
      <c r="C96" s="175" t="s">
        <v>352</v>
      </c>
      <c r="D96" s="175"/>
      <c r="E96" s="387"/>
      <c r="F96" s="175"/>
      <c r="G96" s="230"/>
      <c r="H96" s="175"/>
      <c r="I96" s="175"/>
      <c r="J96" s="423"/>
      <c r="K96" s="175"/>
      <c r="L96" s="175"/>
      <c r="M96" s="163"/>
      <c r="N96" s="175"/>
      <c r="O96" s="188"/>
      <c r="P96" s="407" t="s">
        <v>353</v>
      </c>
      <c r="Q96" s="186"/>
    </row>
    <row r="97" spans="2:17" ht="92.1" customHeight="1" thickBot="1">
      <c r="B97" s="235" t="s">
        <v>354</v>
      </c>
      <c r="C97" s="168" t="s">
        <v>355</v>
      </c>
      <c r="D97" s="168" t="s">
        <v>356</v>
      </c>
      <c r="E97" s="377"/>
      <c r="F97" s="236"/>
      <c r="G97" s="236" t="s">
        <v>357</v>
      </c>
      <c r="H97" s="168"/>
      <c r="I97" s="168"/>
      <c r="J97" s="143"/>
      <c r="K97" s="168"/>
      <c r="L97" s="168"/>
      <c r="M97" s="143"/>
      <c r="N97" s="168"/>
      <c r="O97" s="237"/>
      <c r="P97" s="143"/>
      <c r="Q97" s="174"/>
    </row>
    <row r="98" spans="2:17" ht="32.1" customHeight="1" thickBot="1">
      <c r="B98" s="235" t="s">
        <v>358</v>
      </c>
      <c r="C98" s="168" t="s">
        <v>359</v>
      </c>
      <c r="D98" s="168"/>
      <c r="E98" s="377"/>
      <c r="F98" s="236"/>
      <c r="G98" s="236"/>
      <c r="H98" s="168"/>
      <c r="I98" s="168"/>
      <c r="J98" s="143"/>
      <c r="K98" s="168"/>
      <c r="L98" s="168"/>
      <c r="M98" s="143"/>
      <c r="N98" s="168"/>
      <c r="O98" s="237"/>
      <c r="P98" s="413" t="s">
        <v>360</v>
      </c>
      <c r="Q98" s="174"/>
    </row>
    <row r="99" spans="2:17" ht="36.6" customHeight="1" thickBot="1">
      <c r="B99" s="235"/>
      <c r="C99" s="168" t="s">
        <v>361</v>
      </c>
      <c r="D99" s="168"/>
      <c r="E99" s="377"/>
      <c r="F99" s="236"/>
      <c r="G99" s="168" t="s">
        <v>362</v>
      </c>
      <c r="H99" s="168"/>
      <c r="I99" s="168"/>
      <c r="J99" s="143"/>
      <c r="K99" s="168"/>
      <c r="L99" s="168"/>
      <c r="M99" s="143"/>
      <c r="N99" s="168"/>
      <c r="O99" s="237"/>
      <c r="P99" s="143"/>
      <c r="Q99" s="174"/>
    </row>
    <row r="100" spans="2:17" ht="36.6" customHeight="1" thickBot="1">
      <c r="B100" s="235" t="s">
        <v>363</v>
      </c>
      <c r="C100" s="168" t="s">
        <v>364</v>
      </c>
      <c r="D100" s="168"/>
      <c r="E100" s="377"/>
      <c r="F100" s="236"/>
      <c r="G100" s="168"/>
      <c r="H100" s="168"/>
      <c r="I100" s="168"/>
      <c r="J100" s="143"/>
      <c r="K100" s="168"/>
      <c r="L100" s="168"/>
      <c r="M100" s="143"/>
      <c r="N100" s="168"/>
      <c r="O100" s="237"/>
      <c r="P100" s="143"/>
      <c r="Q100" s="174"/>
    </row>
    <row r="101" spans="2:17" ht="33.950000000000003" customHeight="1">
      <c r="B101" s="434" t="s">
        <v>365</v>
      </c>
      <c r="C101" s="122" t="s">
        <v>366</v>
      </c>
      <c r="D101" s="124"/>
      <c r="E101" s="364" t="s">
        <v>367</v>
      </c>
      <c r="F101" s="209"/>
      <c r="G101" s="426" t="s">
        <v>368</v>
      </c>
      <c r="H101" s="122" t="s">
        <v>369</v>
      </c>
      <c r="I101" s="124"/>
      <c r="J101" s="122"/>
      <c r="K101" s="124"/>
      <c r="L101" s="124"/>
      <c r="M101" s="122"/>
      <c r="N101" s="124"/>
      <c r="O101" s="181"/>
      <c r="P101" s="122" t="s">
        <v>370</v>
      </c>
      <c r="Q101" s="171"/>
    </row>
    <row r="102" spans="2:17" ht="49.5" customHeight="1" thickBot="1">
      <c r="B102" s="463"/>
      <c r="C102" s="129" t="s">
        <v>371</v>
      </c>
      <c r="D102" s="129"/>
      <c r="E102" s="376"/>
      <c r="F102" s="210"/>
      <c r="G102" s="427"/>
      <c r="H102" s="129"/>
      <c r="I102" s="129"/>
      <c r="J102" s="127"/>
      <c r="K102" s="129"/>
      <c r="L102" s="129"/>
      <c r="M102" s="127"/>
      <c r="N102" s="129"/>
      <c r="O102" s="182"/>
      <c r="P102" s="414" t="s">
        <v>372</v>
      </c>
      <c r="Q102" s="172"/>
    </row>
    <row r="103" spans="2:17" ht="49.5" customHeight="1" thickBot="1">
      <c r="B103" s="206" t="s">
        <v>373</v>
      </c>
      <c r="C103" s="96" t="s">
        <v>374</v>
      </c>
      <c r="D103" s="96" t="s">
        <v>71</v>
      </c>
      <c r="E103" s="382" t="s">
        <v>375</v>
      </c>
      <c r="F103" s="96" t="s">
        <v>376</v>
      </c>
      <c r="G103" s="86"/>
      <c r="H103" s="86" t="s">
        <v>377</v>
      </c>
      <c r="I103" s="96">
        <v>2</v>
      </c>
      <c r="J103" s="96">
        <f t="shared" si="0"/>
        <v>2</v>
      </c>
      <c r="K103" s="96"/>
      <c r="L103" s="96"/>
      <c r="M103" s="96" t="s">
        <v>36</v>
      </c>
      <c r="N103" s="21"/>
      <c r="O103" s="87"/>
      <c r="P103" s="411" t="s">
        <v>378</v>
      </c>
      <c r="Q103" s="96"/>
    </row>
    <row r="104" spans="2:17" ht="30.95" customHeight="1">
      <c r="B104" s="434" t="s">
        <v>379</v>
      </c>
      <c r="C104" s="124" t="s">
        <v>380</v>
      </c>
      <c r="D104" s="124"/>
      <c r="E104" s="374"/>
      <c r="F104" s="124"/>
      <c r="G104" s="417" t="s">
        <v>381</v>
      </c>
      <c r="H104" s="124"/>
      <c r="I104" s="124"/>
      <c r="J104" s="124"/>
      <c r="K104" s="124"/>
      <c r="L104" s="124"/>
      <c r="M104" s="122"/>
      <c r="N104" s="124"/>
      <c r="O104" s="181"/>
      <c r="P104" s="122"/>
      <c r="Q104" s="171"/>
    </row>
    <row r="105" spans="2:17" ht="24.6" customHeight="1">
      <c r="B105" s="435"/>
      <c r="C105" s="120" t="s">
        <v>382</v>
      </c>
      <c r="D105" s="138"/>
      <c r="E105" s="389"/>
      <c r="F105" s="138"/>
      <c r="G105" s="418"/>
      <c r="H105" s="138"/>
      <c r="I105" s="138"/>
      <c r="J105" s="138"/>
      <c r="K105" s="138"/>
      <c r="L105" s="138"/>
      <c r="M105" s="138"/>
      <c r="N105" s="138"/>
      <c r="O105" s="138"/>
      <c r="P105" s="138"/>
      <c r="Q105" s="191"/>
    </row>
    <row r="106" spans="2:17" ht="25.5" customHeight="1" thickBot="1">
      <c r="B106" s="436"/>
      <c r="C106" s="175" t="s">
        <v>383</v>
      </c>
      <c r="D106" s="164"/>
      <c r="E106" s="390"/>
      <c r="F106" s="164"/>
      <c r="G106" s="419"/>
      <c r="H106" s="164"/>
      <c r="I106" s="164"/>
      <c r="J106" s="164"/>
      <c r="K106" s="164"/>
      <c r="L106" s="164"/>
      <c r="M106" s="164"/>
      <c r="N106" s="164"/>
      <c r="O106" s="164"/>
      <c r="P106" s="164" t="s">
        <v>384</v>
      </c>
      <c r="Q106" s="196"/>
    </row>
    <row r="107" spans="2:17" ht="23.45" customHeight="1">
      <c r="B107" s="434" t="s">
        <v>385</v>
      </c>
      <c r="C107" s="124" t="s">
        <v>386</v>
      </c>
      <c r="D107" s="153"/>
      <c r="E107" s="391"/>
      <c r="F107" s="153"/>
      <c r="G107" s="417" t="s">
        <v>387</v>
      </c>
      <c r="H107" s="153"/>
      <c r="I107" s="153"/>
      <c r="J107" s="153"/>
      <c r="K107" s="153"/>
      <c r="L107" s="153"/>
      <c r="M107" s="153"/>
      <c r="N107" s="153"/>
      <c r="O107" s="153"/>
      <c r="P107" s="153" t="s">
        <v>388</v>
      </c>
      <c r="Q107" s="197"/>
    </row>
    <row r="108" spans="2:17" ht="17.45" customHeight="1" thickBot="1">
      <c r="B108" s="436"/>
      <c r="C108" s="175" t="s">
        <v>389</v>
      </c>
      <c r="D108" s="164"/>
      <c r="E108" s="390"/>
      <c r="F108" s="164"/>
      <c r="G108" s="419"/>
      <c r="H108" s="164"/>
      <c r="I108" s="164"/>
      <c r="J108" s="164"/>
      <c r="K108" s="164"/>
      <c r="L108" s="164"/>
      <c r="M108" s="164"/>
      <c r="N108" s="164"/>
      <c r="O108" s="164"/>
      <c r="P108" s="164"/>
      <c r="Q108" s="196"/>
    </row>
    <row r="109" spans="2:17" ht="33" customHeight="1" thickBot="1">
      <c r="B109" s="136" t="s">
        <v>390</v>
      </c>
      <c r="C109" s="78" t="s">
        <v>391</v>
      </c>
      <c r="D109" s="78" t="s">
        <v>392</v>
      </c>
      <c r="E109" s="373"/>
      <c r="F109" s="299"/>
      <c r="G109" s="78" t="s">
        <v>393</v>
      </c>
      <c r="H109" s="144"/>
      <c r="I109" s="144"/>
      <c r="J109" s="144"/>
      <c r="K109" s="144"/>
      <c r="L109" s="144"/>
      <c r="M109" s="144"/>
      <c r="N109" s="144"/>
      <c r="O109" s="144"/>
      <c r="P109" s="144"/>
      <c r="Q109" s="340"/>
    </row>
    <row r="110" spans="2:17" ht="53.1" customHeight="1" thickBot="1">
      <c r="B110" s="235" t="s">
        <v>394</v>
      </c>
      <c r="C110" s="168" t="s">
        <v>395</v>
      </c>
      <c r="D110" s="168" t="s">
        <v>43</v>
      </c>
      <c r="E110" s="377"/>
      <c r="F110" s="236"/>
      <c r="G110" s="236" t="s">
        <v>396</v>
      </c>
      <c r="H110" s="144"/>
      <c r="I110" s="144"/>
      <c r="J110" s="144"/>
      <c r="K110" s="144"/>
      <c r="L110" s="144"/>
      <c r="M110" s="144"/>
      <c r="N110" s="144"/>
      <c r="O110" s="144"/>
      <c r="P110" s="144"/>
      <c r="Q110" s="340"/>
    </row>
    <row r="111" spans="2:17" ht="53.1" customHeight="1" thickBot="1">
      <c r="B111" s="231" t="s">
        <v>397</v>
      </c>
      <c r="C111" s="134" t="s">
        <v>398</v>
      </c>
      <c r="D111" s="134"/>
      <c r="E111" s="388"/>
      <c r="F111" s="198"/>
      <c r="G111" s="198"/>
      <c r="H111" s="139"/>
      <c r="I111" s="139"/>
      <c r="J111" s="139"/>
      <c r="K111" s="139"/>
      <c r="L111" s="139"/>
      <c r="M111" s="139"/>
      <c r="N111" s="139"/>
      <c r="O111" s="139"/>
      <c r="P111" s="139"/>
      <c r="Q111" s="140"/>
    </row>
    <row r="112" spans="2:17" ht="53.1" customHeight="1" thickBot="1">
      <c r="B112" s="343" t="s">
        <v>399</v>
      </c>
      <c r="C112" s="205" t="s">
        <v>400</v>
      </c>
      <c r="D112" s="205"/>
      <c r="E112" s="392"/>
      <c r="F112" s="217"/>
      <c r="G112" s="217"/>
      <c r="H112" s="148"/>
      <c r="I112" s="148"/>
      <c r="J112" s="148"/>
      <c r="K112" s="148"/>
      <c r="L112" s="148"/>
      <c r="M112" s="148"/>
      <c r="N112" s="148"/>
      <c r="O112" s="148"/>
      <c r="P112" s="415" t="s">
        <v>401</v>
      </c>
      <c r="Q112" s="332"/>
    </row>
    <row r="113" spans="2:17" ht="53.1" customHeight="1" thickBot="1">
      <c r="B113" s="231" t="s">
        <v>402</v>
      </c>
      <c r="C113" s="232" t="s">
        <v>403</v>
      </c>
      <c r="D113" s="134"/>
      <c r="E113" s="393" t="s">
        <v>404</v>
      </c>
      <c r="F113" s="198"/>
      <c r="G113" s="198"/>
      <c r="H113" s="256"/>
      <c r="I113" s="139"/>
      <c r="J113" s="139"/>
      <c r="K113" s="139"/>
      <c r="L113" s="139"/>
      <c r="M113" s="139"/>
      <c r="N113" s="139"/>
      <c r="O113" s="139"/>
      <c r="P113" s="278" t="s">
        <v>405</v>
      </c>
      <c r="Q113" s="140"/>
    </row>
    <row r="114" spans="2:17" ht="53.1" customHeight="1" thickBot="1">
      <c r="B114" s="231" t="s">
        <v>406</v>
      </c>
      <c r="C114" s="232" t="s">
        <v>407</v>
      </c>
      <c r="D114" s="134"/>
      <c r="E114" s="394" t="s">
        <v>404</v>
      </c>
      <c r="F114" s="198"/>
      <c r="G114" s="198"/>
      <c r="H114" s="139"/>
      <c r="I114" s="139"/>
      <c r="J114" s="139"/>
      <c r="K114" s="139"/>
      <c r="L114" s="139"/>
      <c r="M114" s="139"/>
      <c r="N114" s="139"/>
      <c r="O114" s="139"/>
      <c r="P114" s="139" t="s">
        <v>408</v>
      </c>
      <c r="Q114" s="140"/>
    </row>
    <row r="115" spans="2:17" s="351" customFormat="1" ht="53.1" customHeight="1" thickBot="1">
      <c r="B115" s="231" t="s">
        <v>409</v>
      </c>
      <c r="C115" s="232" t="s">
        <v>410</v>
      </c>
      <c r="D115" s="134"/>
      <c r="E115" s="379" t="s">
        <v>411</v>
      </c>
      <c r="F115" s="134"/>
      <c r="G115" s="134"/>
      <c r="H115" s="256"/>
      <c r="I115" s="256"/>
      <c r="J115" s="256"/>
      <c r="K115" s="256"/>
      <c r="L115" s="256"/>
      <c r="M115" s="256"/>
      <c r="N115" s="256"/>
      <c r="O115" s="256"/>
      <c r="P115" s="352" t="s">
        <v>412</v>
      </c>
      <c r="Q115" s="350"/>
    </row>
    <row r="116" spans="2:17" ht="53.1" customHeight="1" thickBot="1">
      <c r="B116" s="235" t="s">
        <v>413</v>
      </c>
      <c r="C116" s="20" t="s">
        <v>414</v>
      </c>
      <c r="D116" s="168"/>
      <c r="E116" s="377"/>
      <c r="F116" s="236"/>
      <c r="G116" s="236"/>
      <c r="H116" s="144"/>
      <c r="I116" s="144"/>
      <c r="J116" s="144"/>
      <c r="K116" s="144"/>
      <c r="L116" s="144"/>
      <c r="M116" s="144"/>
      <c r="N116" s="144"/>
      <c r="O116" s="144"/>
      <c r="P116" s="144" t="s">
        <v>415</v>
      </c>
      <c r="Q116" s="340"/>
    </row>
    <row r="117" spans="2:17" ht="53.1" customHeight="1" thickBot="1">
      <c r="B117" s="231" t="s">
        <v>416</v>
      </c>
      <c r="C117" s="134" t="s">
        <v>417</v>
      </c>
      <c r="D117" s="134"/>
      <c r="E117" s="388"/>
      <c r="F117" s="198"/>
      <c r="G117" s="198"/>
      <c r="H117" s="139"/>
      <c r="I117" s="139"/>
      <c r="J117" s="139"/>
      <c r="K117" s="139"/>
      <c r="L117" s="139"/>
      <c r="M117" s="139"/>
      <c r="N117" s="139"/>
      <c r="O117" s="139"/>
      <c r="P117" s="139"/>
      <c r="Q117" s="140"/>
    </row>
    <row r="118" spans="2:17" ht="53.1" customHeight="1" thickBot="1">
      <c r="B118" s="228" t="s">
        <v>418</v>
      </c>
      <c r="C118" s="96" t="s">
        <v>419</v>
      </c>
      <c r="D118" s="97"/>
      <c r="E118" s="395" t="s">
        <v>420</v>
      </c>
      <c r="F118" s="318"/>
      <c r="G118" s="318"/>
      <c r="H118" s="208"/>
      <c r="I118" s="208"/>
      <c r="J118" s="208"/>
      <c r="K118" s="208"/>
      <c r="L118" s="208"/>
      <c r="M118" s="208"/>
      <c r="N118" s="208"/>
      <c r="O118" s="208"/>
      <c r="P118" s="324" t="s">
        <v>421</v>
      </c>
      <c r="Q118" s="227"/>
    </row>
    <row r="119" spans="2:17" ht="53.1" customHeight="1" thickBot="1">
      <c r="B119" s="344" t="s">
        <v>422</v>
      </c>
      <c r="C119" s="168"/>
      <c r="D119" s="168"/>
      <c r="E119" s="377"/>
      <c r="F119" s="236"/>
      <c r="G119" s="236"/>
      <c r="H119" s="144"/>
      <c r="I119" s="144"/>
      <c r="J119" s="144"/>
      <c r="K119" s="144"/>
      <c r="L119" s="144"/>
      <c r="M119" s="144"/>
      <c r="N119" s="144"/>
      <c r="O119" s="144"/>
      <c r="P119" s="354"/>
      <c r="Q119" s="340"/>
    </row>
    <row r="120" spans="2:17" ht="53.1" customHeight="1" thickBot="1">
      <c r="B120" s="235" t="s">
        <v>423</v>
      </c>
      <c r="C120" s="168" t="s">
        <v>424</v>
      </c>
      <c r="D120" s="168"/>
      <c r="E120" s="396" t="s">
        <v>411</v>
      </c>
      <c r="F120" s="236"/>
      <c r="G120" s="236"/>
      <c r="H120" s="144"/>
      <c r="I120" s="144"/>
      <c r="J120" s="144"/>
      <c r="K120" s="144"/>
      <c r="L120" s="144"/>
      <c r="M120" s="144"/>
      <c r="N120" s="144"/>
      <c r="O120" s="144"/>
      <c r="P120" s="354" t="s">
        <v>425</v>
      </c>
      <c r="Q120" s="340"/>
    </row>
    <row r="121" spans="2:17" ht="53.1" customHeight="1" thickBot="1">
      <c r="B121" s="235" t="s">
        <v>426</v>
      </c>
      <c r="C121" s="168" t="s">
        <v>427</v>
      </c>
      <c r="D121" s="168"/>
      <c r="E121" s="377"/>
      <c r="F121" s="236"/>
      <c r="G121" s="236"/>
      <c r="H121" s="144"/>
      <c r="I121" s="144"/>
      <c r="J121" s="144"/>
      <c r="K121" s="144"/>
      <c r="L121" s="144"/>
      <c r="M121" s="144"/>
      <c r="N121" s="144"/>
      <c r="O121" s="144"/>
      <c r="P121" s="144"/>
      <c r="Q121" s="340"/>
    </row>
    <row r="122" spans="2:17" ht="53.1" customHeight="1" thickBot="1">
      <c r="B122" s="235" t="s">
        <v>428</v>
      </c>
      <c r="C122" s="168" t="s">
        <v>429</v>
      </c>
      <c r="D122" s="168"/>
      <c r="E122" s="377"/>
      <c r="F122" s="236"/>
      <c r="G122" s="236"/>
      <c r="H122" s="144"/>
      <c r="I122" s="144"/>
      <c r="J122" s="144"/>
      <c r="K122" s="144"/>
      <c r="L122" s="144"/>
      <c r="M122" s="144"/>
      <c r="N122" s="144"/>
      <c r="O122" s="144"/>
      <c r="P122" s="144"/>
      <c r="Q122" s="340"/>
    </row>
    <row r="123" spans="2:17" ht="24" customHeight="1" thickBot="1">
      <c r="B123" s="434" t="s">
        <v>430</v>
      </c>
      <c r="C123" s="124" t="s">
        <v>431</v>
      </c>
      <c r="D123" s="124"/>
      <c r="E123" s="364"/>
      <c r="F123" s="209"/>
      <c r="G123" s="209"/>
      <c r="H123" s="153"/>
      <c r="I123" s="153"/>
      <c r="J123" s="153"/>
      <c r="K123" s="153"/>
      <c r="L123" s="153"/>
      <c r="M123" s="153"/>
      <c r="N123" s="153"/>
      <c r="O123" s="153"/>
      <c r="P123" s="153"/>
      <c r="Q123" s="197"/>
    </row>
    <row r="124" spans="2:17" ht="35.450000000000003" customHeight="1">
      <c r="B124" s="435"/>
      <c r="C124" s="120" t="s">
        <v>432</v>
      </c>
      <c r="D124" s="120"/>
      <c r="E124" s="369" t="s">
        <v>433</v>
      </c>
      <c r="F124" s="219"/>
      <c r="G124" s="219"/>
      <c r="H124" s="155" t="s">
        <v>434</v>
      </c>
      <c r="I124" s="138"/>
      <c r="J124" s="138"/>
      <c r="K124" s="138"/>
      <c r="L124" s="138"/>
      <c r="M124" s="138"/>
      <c r="N124" s="138"/>
      <c r="O124" s="138"/>
      <c r="P124" s="345" t="s">
        <v>435</v>
      </c>
    </row>
    <row r="125" spans="2:17" ht="16.5" customHeight="1" thickBot="1">
      <c r="B125" s="436"/>
      <c r="C125" s="175" t="s">
        <v>436</v>
      </c>
      <c r="D125" s="175"/>
      <c r="E125" s="365"/>
      <c r="F125" s="245"/>
      <c r="G125" s="245"/>
      <c r="H125" s="164"/>
      <c r="I125" s="164"/>
      <c r="J125" s="164"/>
      <c r="K125" s="164"/>
      <c r="L125" s="164"/>
      <c r="M125" s="164"/>
      <c r="N125" s="164"/>
      <c r="O125" s="164"/>
      <c r="P125" s="164"/>
      <c r="Q125" s="196"/>
    </row>
    <row r="126" spans="2:17" ht="56.45" customHeight="1">
      <c r="B126" s="434" t="s">
        <v>437</v>
      </c>
      <c r="C126" s="124" t="s">
        <v>438</v>
      </c>
      <c r="D126" s="124"/>
      <c r="E126" s="397" t="s">
        <v>439</v>
      </c>
      <c r="F126" s="348" t="s">
        <v>440</v>
      </c>
      <c r="G126" s="209"/>
      <c r="H126" s="153" t="s">
        <v>441</v>
      </c>
      <c r="I126" s="153">
        <v>0</v>
      </c>
      <c r="J126" s="153"/>
      <c r="K126" s="153"/>
      <c r="L126" s="153"/>
      <c r="M126" s="153"/>
      <c r="N126" s="153"/>
      <c r="O126" s="153"/>
      <c r="P126" s="155" t="s">
        <v>442</v>
      </c>
      <c r="Q126" s="197"/>
    </row>
    <row r="127" spans="2:17" ht="33.950000000000003" customHeight="1" thickBot="1">
      <c r="B127" s="435"/>
      <c r="C127" s="120" t="s">
        <v>443</v>
      </c>
      <c r="D127" s="120"/>
      <c r="E127" s="375" t="s">
        <v>31</v>
      </c>
      <c r="F127" s="347" t="s">
        <v>444</v>
      </c>
      <c r="G127" s="219"/>
      <c r="H127" s="138"/>
      <c r="I127" s="138">
        <v>0</v>
      </c>
      <c r="J127" s="138"/>
      <c r="K127" s="138"/>
      <c r="L127" s="138" t="s">
        <v>445</v>
      </c>
      <c r="M127" s="138"/>
      <c r="N127" s="138"/>
      <c r="O127" s="138"/>
      <c r="P127" s="158"/>
      <c r="Q127" s="191"/>
    </row>
    <row r="128" spans="2:17" ht="33.950000000000003" customHeight="1" thickBot="1">
      <c r="B128" s="435"/>
      <c r="C128" s="120" t="s">
        <v>446</v>
      </c>
      <c r="D128" s="120"/>
      <c r="E128" s="375" t="s">
        <v>445</v>
      </c>
      <c r="F128" s="347" t="s">
        <v>447</v>
      </c>
      <c r="G128" s="219"/>
      <c r="H128" s="152" t="s">
        <v>448</v>
      </c>
      <c r="I128" s="138"/>
      <c r="J128" s="138"/>
      <c r="K128" s="138"/>
      <c r="L128" s="138"/>
      <c r="M128" s="138"/>
      <c r="N128" s="138"/>
      <c r="O128" s="138"/>
      <c r="P128" s="139"/>
      <c r="Q128" s="191"/>
    </row>
    <row r="129" spans="2:17" ht="62.1" customHeight="1" thickBot="1">
      <c r="B129" s="435"/>
      <c r="C129" s="120" t="s">
        <v>449</v>
      </c>
      <c r="D129" s="120"/>
      <c r="E129" s="375" t="s">
        <v>31</v>
      </c>
      <c r="F129" s="347" t="s">
        <v>14</v>
      </c>
      <c r="G129" s="219"/>
      <c r="H129" s="152" t="s">
        <v>450</v>
      </c>
      <c r="I129" s="138"/>
      <c r="J129" s="138"/>
      <c r="K129" s="138"/>
      <c r="L129" s="138"/>
      <c r="M129" s="138"/>
      <c r="N129" s="138"/>
      <c r="O129" s="138"/>
      <c r="P129" s="416"/>
      <c r="Q129" s="191"/>
    </row>
    <row r="130" spans="2:17" ht="24.95" customHeight="1" thickBot="1">
      <c r="B130" s="463"/>
      <c r="C130" s="355" t="s">
        <v>451</v>
      </c>
      <c r="D130" s="129"/>
      <c r="E130" s="376"/>
      <c r="F130" s="210"/>
      <c r="G130" s="210"/>
      <c r="H130" s="158"/>
      <c r="I130" s="158"/>
      <c r="J130" s="158"/>
      <c r="K130" s="158"/>
      <c r="L130" s="158"/>
      <c r="M130" s="158"/>
      <c r="N130" s="158"/>
      <c r="O130" s="158"/>
      <c r="P130" s="404" t="s">
        <v>452</v>
      </c>
      <c r="Q130" s="229"/>
    </row>
    <row r="131" spans="2:17" ht="24.95" customHeight="1" thickBot="1">
      <c r="B131" s="343" t="s">
        <v>453</v>
      </c>
      <c r="C131" s="205" t="s">
        <v>454</v>
      </c>
      <c r="D131" s="205"/>
      <c r="E131" s="392"/>
      <c r="F131" s="217"/>
      <c r="G131" s="217"/>
      <c r="H131" s="148"/>
      <c r="I131" s="148"/>
      <c r="J131" s="148"/>
      <c r="K131" s="148"/>
      <c r="L131" s="148"/>
      <c r="M131" s="148"/>
      <c r="N131" s="148"/>
      <c r="O131" s="148"/>
      <c r="P131" s="277" t="s">
        <v>455</v>
      </c>
      <c r="Q131" s="332"/>
    </row>
    <row r="132" spans="2:17" ht="44.1" customHeight="1" thickBot="1">
      <c r="B132" s="231" t="s">
        <v>456</v>
      </c>
      <c r="C132" s="90" t="s">
        <v>457</v>
      </c>
      <c r="D132" s="134"/>
      <c r="E132" s="388"/>
      <c r="F132" s="198"/>
      <c r="G132" s="198"/>
      <c r="H132" s="139"/>
      <c r="I132" s="139"/>
      <c r="J132" s="139"/>
      <c r="K132" s="139"/>
      <c r="L132" s="139"/>
      <c r="M132" s="139"/>
      <c r="N132" s="139"/>
      <c r="O132" s="139"/>
      <c r="P132" s="405" t="s">
        <v>458</v>
      </c>
      <c r="Q132" s="140"/>
    </row>
    <row r="133" spans="2:17" ht="24.95" customHeight="1" thickBot="1">
      <c r="B133" s="231" t="s">
        <v>459</v>
      </c>
      <c r="C133" s="88" t="s">
        <v>460</v>
      </c>
      <c r="D133" s="134"/>
      <c r="E133" s="394" t="s">
        <v>461</v>
      </c>
      <c r="F133" s="198"/>
      <c r="G133" s="198"/>
      <c r="H133" s="139"/>
      <c r="I133" s="139"/>
      <c r="J133" s="139"/>
      <c r="K133" s="139"/>
      <c r="L133" s="139"/>
      <c r="M133" s="139"/>
      <c r="N133" s="139"/>
      <c r="O133" s="139"/>
      <c r="P133" s="139" t="s">
        <v>462</v>
      </c>
      <c r="Q133" s="140"/>
    </row>
    <row r="134" spans="2:17" ht="39.6" customHeight="1" thickBot="1">
      <c r="B134" s="235" t="s">
        <v>463</v>
      </c>
      <c r="C134" s="137" t="s">
        <v>464</v>
      </c>
      <c r="D134" s="168"/>
      <c r="E134" s="377" t="s">
        <v>142</v>
      </c>
      <c r="F134" s="236"/>
      <c r="G134" s="236"/>
      <c r="H134" s="144" t="s">
        <v>369</v>
      </c>
      <c r="I134" s="144"/>
      <c r="J134" s="144"/>
      <c r="K134" s="144"/>
      <c r="L134" s="144"/>
      <c r="M134" s="144"/>
      <c r="N134" s="144"/>
      <c r="O134" s="144"/>
      <c r="P134" s="144" t="s">
        <v>465</v>
      </c>
      <c r="Q134" s="340"/>
    </row>
    <row r="135" spans="2:17" ht="39.6" customHeight="1" thickBot="1">
      <c r="B135" s="353" t="s">
        <v>466</v>
      </c>
      <c r="C135" s="232" t="s">
        <v>467</v>
      </c>
      <c r="D135" s="134"/>
      <c r="E135" s="394" t="s">
        <v>67</v>
      </c>
      <c r="F135" s="198"/>
      <c r="G135" s="349" t="s">
        <v>468</v>
      </c>
      <c r="H135" s="139"/>
      <c r="I135" s="139"/>
      <c r="J135" s="139"/>
      <c r="K135" s="139"/>
      <c r="L135" s="139"/>
      <c r="M135" s="139"/>
      <c r="N135" s="139"/>
      <c r="O135" s="139"/>
      <c r="P135" s="139" t="s">
        <v>469</v>
      </c>
      <c r="Q135" s="140"/>
    </row>
    <row r="136" spans="2:17" ht="53.1" customHeight="1" thickBot="1">
      <c r="B136" s="228" t="s">
        <v>470</v>
      </c>
      <c r="C136" s="253"/>
      <c r="D136" s="205"/>
      <c r="E136" s="392"/>
      <c r="F136" s="217"/>
      <c r="G136" s="217"/>
      <c r="H136" s="148"/>
      <c r="I136" s="148"/>
      <c r="J136" s="148"/>
      <c r="K136" s="148"/>
      <c r="L136" s="148"/>
      <c r="M136" s="148"/>
      <c r="N136" s="148"/>
      <c r="O136" s="148"/>
      <c r="P136" s="148"/>
      <c r="Q136" s="332"/>
    </row>
    <row r="137" spans="2:17" ht="53.1" customHeight="1" thickBot="1">
      <c r="B137" s="235" t="s">
        <v>471</v>
      </c>
      <c r="C137" s="250"/>
      <c r="D137" s="134"/>
      <c r="E137" s="388"/>
      <c r="F137" s="198"/>
      <c r="G137" s="198"/>
      <c r="H137" s="139"/>
      <c r="I137" s="139"/>
      <c r="J137" s="139"/>
      <c r="K137" s="139"/>
      <c r="L137" s="139"/>
      <c r="M137" s="139"/>
      <c r="N137" s="139"/>
      <c r="O137" s="139"/>
      <c r="P137" s="139"/>
      <c r="Q137" s="140"/>
    </row>
    <row r="138" spans="2:17" ht="53.1" customHeight="1" thickBot="1">
      <c r="B138" s="456" t="s">
        <v>472</v>
      </c>
      <c r="C138" s="232" t="s">
        <v>473</v>
      </c>
      <c r="D138" s="134"/>
      <c r="E138" s="388"/>
      <c r="F138" s="198"/>
      <c r="G138" s="198"/>
      <c r="H138" s="256" t="s">
        <v>474</v>
      </c>
      <c r="I138" s="139"/>
      <c r="J138" s="139"/>
      <c r="K138" s="139"/>
      <c r="L138" s="139"/>
      <c r="M138" s="139"/>
      <c r="N138" s="139"/>
      <c r="O138" s="139"/>
      <c r="P138" s="256" t="s">
        <v>475</v>
      </c>
      <c r="Q138" s="140"/>
    </row>
    <row r="139" spans="2:17" ht="53.1" customHeight="1" thickBot="1">
      <c r="B139" s="457"/>
      <c r="C139" s="147" t="s">
        <v>476</v>
      </c>
      <c r="D139" s="205"/>
      <c r="E139" s="378" t="s">
        <v>142</v>
      </c>
      <c r="F139" s="217"/>
      <c r="G139" s="217"/>
      <c r="H139" s="149" t="s">
        <v>477</v>
      </c>
      <c r="I139" s="148"/>
      <c r="J139" s="148"/>
      <c r="K139" s="148"/>
      <c r="L139" s="148"/>
      <c r="M139" s="148"/>
      <c r="N139" s="148"/>
      <c r="O139" s="148"/>
      <c r="P139" s="149" t="s">
        <v>478</v>
      </c>
      <c r="Q139" s="332"/>
    </row>
    <row r="140" spans="2:17" ht="30" customHeight="1" thickBot="1">
      <c r="B140" s="331" t="s">
        <v>479</v>
      </c>
      <c r="C140" s="205" t="s">
        <v>480</v>
      </c>
      <c r="D140" s="148"/>
      <c r="E140" s="398"/>
      <c r="F140" s="148"/>
      <c r="G140" s="217" t="s">
        <v>481</v>
      </c>
      <c r="H140" s="148"/>
      <c r="I140" s="148"/>
      <c r="J140" s="148"/>
      <c r="K140" s="148"/>
      <c r="L140" s="148"/>
      <c r="M140" s="148"/>
      <c r="N140" s="148"/>
      <c r="O140" s="148"/>
      <c r="P140" s="148"/>
      <c r="Q140" s="332"/>
    </row>
  </sheetData>
  <autoFilter ref="B1:Q140" xr:uid="{3A326BC2-8746-4859-8DCA-C8DE5090F705}"/>
  <mergeCells count="50">
    <mergeCell ref="B138:B139"/>
    <mergeCell ref="B31:B35"/>
    <mergeCell ref="G24:G25"/>
    <mergeCell ref="B2:B3"/>
    <mergeCell ref="B4:B5"/>
    <mergeCell ref="B50:B59"/>
    <mergeCell ref="B75:B77"/>
    <mergeCell ref="G75:G76"/>
    <mergeCell ref="D75:D76"/>
    <mergeCell ref="B123:B125"/>
    <mergeCell ref="B126:B130"/>
    <mergeCell ref="B101:B102"/>
    <mergeCell ref="G101:G102"/>
    <mergeCell ref="B107:B108"/>
    <mergeCell ref="G107:G108"/>
    <mergeCell ref="B104:B106"/>
    <mergeCell ref="J50:J59"/>
    <mergeCell ref="J9:J11"/>
    <mergeCell ref="J12:J17"/>
    <mergeCell ref="B9:B11"/>
    <mergeCell ref="B12:B17"/>
    <mergeCell ref="B44:B45"/>
    <mergeCell ref="B26:B29"/>
    <mergeCell ref="B18:B19"/>
    <mergeCell ref="D18:D19"/>
    <mergeCell ref="J18:J19"/>
    <mergeCell ref="B20:B23"/>
    <mergeCell ref="B24:B25"/>
    <mergeCell ref="G27:G28"/>
    <mergeCell ref="D27:D28"/>
    <mergeCell ref="J26:J29"/>
    <mergeCell ref="D24:D25"/>
    <mergeCell ref="B46:B49"/>
    <mergeCell ref="J31:J35"/>
    <mergeCell ref="B42:B43"/>
    <mergeCell ref="B60:B61"/>
    <mergeCell ref="J66:J74"/>
    <mergeCell ref="B62:B63"/>
    <mergeCell ref="J62:J63"/>
    <mergeCell ref="B66:B74"/>
    <mergeCell ref="G104:G106"/>
    <mergeCell ref="B89:B90"/>
    <mergeCell ref="J94:J96"/>
    <mergeCell ref="B78:B79"/>
    <mergeCell ref="J78:J79"/>
    <mergeCell ref="B80:B82"/>
    <mergeCell ref="J80:J82"/>
    <mergeCell ref="B94:B96"/>
    <mergeCell ref="B86:B87"/>
    <mergeCell ref="G86:G87"/>
  </mergeCells>
  <hyperlinks>
    <hyperlink ref="P124" r:id="rId1" xr:uid="{15295370-DE58-4932-B960-F5A43DDD2621}"/>
    <hyperlink ref="P31" r:id="rId2" xr:uid="{054CAC86-2419-4C11-9F0F-1EECABC19B31}"/>
    <hyperlink ref="P115" r:id="rId3" xr:uid="{5E170269-9450-4162-9C3F-241C95D25ED6}"/>
    <hyperlink ref="P130" r:id="rId4" xr:uid="{F8EA3C2D-5ECB-42E1-A148-C82461BCC74D}"/>
    <hyperlink ref="P132" r:id="rId5" xr:uid="{2ACC5558-EEE9-43FD-9107-6A04BB0A8C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2E8E-BAAF-4B00-8EE6-455D45234D53}">
  <dimension ref="A1:C5"/>
  <sheetViews>
    <sheetView workbookViewId="0">
      <selection activeCell="B6" sqref="B6"/>
    </sheetView>
  </sheetViews>
  <sheetFormatPr defaultRowHeight="14.45"/>
  <sheetData>
    <row r="1" spans="1:3">
      <c r="A1" s="105"/>
      <c r="B1" t="s">
        <v>482</v>
      </c>
      <c r="C1" t="s">
        <v>483</v>
      </c>
    </row>
    <row r="2" spans="1:3">
      <c r="A2" s="103"/>
      <c r="B2" t="s">
        <v>484</v>
      </c>
      <c r="C2" t="s">
        <v>485</v>
      </c>
    </row>
    <row r="3" spans="1:3">
      <c r="A3" s="104"/>
      <c r="B3" t="s">
        <v>486</v>
      </c>
      <c r="C3" t="s">
        <v>487</v>
      </c>
    </row>
    <row r="4" spans="1:3">
      <c r="A4" s="106"/>
      <c r="B4" t="s">
        <v>488</v>
      </c>
      <c r="C4" t="s">
        <v>489</v>
      </c>
    </row>
    <row r="5" spans="1:3">
      <c r="A5" s="241"/>
      <c r="B5" t="s">
        <v>490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240"/>
  <sheetViews>
    <sheetView zoomScale="70" zoomScaleNormal="70" workbookViewId="0">
      <pane ySplit="1" topLeftCell="A60" activePane="bottomLeft" state="frozen"/>
      <selection pane="bottomLeft" activeCell="F122" sqref="F122"/>
      <selection activeCell="C41" sqref="C41"/>
    </sheetView>
  </sheetViews>
  <sheetFormatPr defaultColWidth="9.140625" defaultRowHeight="14.45"/>
  <cols>
    <col min="1" max="1" width="21.140625" style="33" customWidth="1"/>
    <col min="2" max="2" width="23.42578125" style="29" customWidth="1"/>
    <col min="3" max="3" width="20.42578125" style="29" customWidth="1"/>
    <col min="4" max="5" width="15.7109375" style="10" customWidth="1"/>
    <col min="6" max="6" width="32.7109375" style="10" customWidth="1"/>
    <col min="7" max="7" width="31.140625" style="10" customWidth="1"/>
    <col min="8" max="8" width="17.5703125" style="10" customWidth="1"/>
    <col min="9" max="9" width="22.42578125" style="10" customWidth="1"/>
    <col min="10" max="10" width="21" style="10" customWidth="1"/>
    <col min="11" max="11" width="25.5703125" style="10" customWidth="1"/>
    <col min="12" max="13" width="14.5703125" style="10" customWidth="1"/>
    <col min="14" max="14" width="38.5703125" style="10" customWidth="1"/>
    <col min="15" max="15" width="25.85546875" style="10" customWidth="1"/>
    <col min="16" max="16" width="22.140625" style="10" customWidth="1"/>
    <col min="17" max="17" width="14.140625" style="10" customWidth="1"/>
    <col min="18" max="18" width="44.7109375" style="10" customWidth="1"/>
    <col min="19" max="19" width="17.42578125" style="10" customWidth="1"/>
    <col min="20" max="20" width="20.28515625" style="10" customWidth="1"/>
    <col min="21" max="16384" width="9.140625" style="10"/>
  </cols>
  <sheetData>
    <row r="1" spans="1:57" ht="42" customHeight="1" thickBot="1">
      <c r="A1" s="54" t="s">
        <v>0</v>
      </c>
      <c r="B1" s="55" t="s">
        <v>1</v>
      </c>
      <c r="C1" s="55" t="s">
        <v>2</v>
      </c>
      <c r="D1" s="55" t="s">
        <v>3</v>
      </c>
      <c r="E1" s="55" t="s">
        <v>4</v>
      </c>
      <c r="F1" s="55" t="s">
        <v>5</v>
      </c>
      <c r="G1" s="55" t="s">
        <v>6</v>
      </c>
      <c r="H1" s="55" t="s">
        <v>7</v>
      </c>
      <c r="I1" s="55" t="s">
        <v>8</v>
      </c>
      <c r="J1" s="55" t="s">
        <v>9</v>
      </c>
      <c r="K1" s="89" t="s">
        <v>10</v>
      </c>
      <c r="L1" s="89" t="s">
        <v>11</v>
      </c>
      <c r="M1" s="89" t="s">
        <v>14</v>
      </c>
      <c r="N1" s="55" t="s">
        <v>491</v>
      </c>
      <c r="O1" s="55" t="s">
        <v>492</v>
      </c>
      <c r="P1" s="55" t="s">
        <v>12</v>
      </c>
      <c r="Q1" s="55" t="s">
        <v>493</v>
      </c>
      <c r="R1" s="56" t="s">
        <v>494</v>
      </c>
      <c r="S1" s="56" t="s">
        <v>495</v>
      </c>
      <c r="T1" s="57" t="s">
        <v>13</v>
      </c>
    </row>
    <row r="2" spans="1:57" s="53" customFormat="1" ht="72.599999999999994" customHeight="1" thickBot="1">
      <c r="A2" s="94" t="s">
        <v>38</v>
      </c>
      <c r="B2" s="90" t="s">
        <v>39</v>
      </c>
      <c r="C2" s="90" t="s">
        <v>40</v>
      </c>
      <c r="D2" s="90" t="s">
        <v>41</v>
      </c>
      <c r="E2" s="90" t="s">
        <v>42</v>
      </c>
      <c r="F2" s="90"/>
      <c r="G2" s="90" t="s">
        <v>43</v>
      </c>
      <c r="H2" s="90">
        <v>1</v>
      </c>
      <c r="I2" s="110">
        <f>H2</f>
        <v>1</v>
      </c>
      <c r="J2" s="90" t="s">
        <v>496</v>
      </c>
      <c r="K2" s="90"/>
      <c r="L2" s="90" t="s">
        <v>36</v>
      </c>
      <c r="M2" s="90"/>
      <c r="N2" s="90" t="s">
        <v>497</v>
      </c>
      <c r="O2" s="91"/>
      <c r="P2" s="91"/>
      <c r="Q2" s="91">
        <v>1</v>
      </c>
      <c r="R2" s="92" t="s">
        <v>498</v>
      </c>
      <c r="S2" s="92"/>
      <c r="T2" s="93"/>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row>
    <row r="3" spans="1:57" ht="35.450000000000003" customHeight="1" thickBot="1">
      <c r="A3" s="95" t="s">
        <v>340</v>
      </c>
      <c r="B3" s="58" t="s">
        <v>341</v>
      </c>
      <c r="C3" s="58"/>
      <c r="D3" s="58"/>
      <c r="E3" s="58"/>
      <c r="F3" s="58"/>
      <c r="G3" s="58"/>
      <c r="H3" s="58">
        <v>1</v>
      </c>
      <c r="I3" s="58">
        <f>H3</f>
        <v>1</v>
      </c>
      <c r="J3" s="58"/>
      <c r="K3" s="58"/>
      <c r="L3" s="88" t="s">
        <v>36</v>
      </c>
      <c r="M3" s="88"/>
      <c r="N3" s="58"/>
      <c r="O3" s="58"/>
      <c r="P3" s="58"/>
      <c r="Q3" s="58"/>
      <c r="R3" s="59"/>
      <c r="S3" s="60"/>
      <c r="T3" s="61"/>
    </row>
    <row r="4" spans="1:57" ht="74.099999999999994" customHeight="1" thickBot="1">
      <c r="A4" s="108" t="s">
        <v>171</v>
      </c>
      <c r="B4" s="97" t="s">
        <v>172</v>
      </c>
      <c r="C4" s="98" t="s">
        <v>173</v>
      </c>
      <c r="D4" s="98" t="s">
        <v>41</v>
      </c>
      <c r="E4" s="98" t="s">
        <v>174</v>
      </c>
      <c r="F4" s="98"/>
      <c r="G4" s="98" t="s">
        <v>53</v>
      </c>
      <c r="H4" s="97">
        <v>1</v>
      </c>
      <c r="I4" s="97">
        <f>H4</f>
        <v>1</v>
      </c>
      <c r="J4" s="99" t="s">
        <v>175</v>
      </c>
      <c r="K4" s="98" t="s">
        <v>71</v>
      </c>
      <c r="L4" s="98" t="s">
        <v>36</v>
      </c>
      <c r="M4" s="98"/>
      <c r="N4" s="97"/>
      <c r="O4" s="97"/>
      <c r="P4" s="97"/>
      <c r="Q4" s="97"/>
      <c r="R4" s="100"/>
      <c r="S4" s="99"/>
      <c r="T4" s="101"/>
    </row>
    <row r="5" spans="1:57" ht="103.5" customHeight="1" thickBot="1">
      <c r="A5" s="132" t="s">
        <v>222</v>
      </c>
      <c r="B5" s="143" t="s">
        <v>223</v>
      </c>
      <c r="C5" s="143" t="s">
        <v>224</v>
      </c>
      <c r="D5" s="143" t="s">
        <v>148</v>
      </c>
      <c r="E5" s="143" t="s">
        <v>225</v>
      </c>
      <c r="F5" s="173"/>
      <c r="G5" s="173" t="s">
        <v>226</v>
      </c>
      <c r="H5" s="168">
        <v>1</v>
      </c>
      <c r="I5" s="168">
        <f>H5+H7</f>
        <v>2</v>
      </c>
      <c r="J5" s="143" t="s">
        <v>227</v>
      </c>
      <c r="K5" s="143" t="s">
        <v>499</v>
      </c>
      <c r="L5" s="143" t="s">
        <v>36</v>
      </c>
      <c r="M5" s="143"/>
      <c r="N5" s="168"/>
      <c r="O5" s="168"/>
      <c r="P5" s="168"/>
      <c r="Q5" s="168"/>
      <c r="R5" s="125"/>
      <c r="S5" s="123"/>
      <c r="T5" s="126"/>
    </row>
    <row r="6" spans="1:57" ht="104.45" customHeight="1" thickBot="1">
      <c r="A6" s="266"/>
      <c r="B6" s="274"/>
      <c r="C6" s="232"/>
      <c r="D6" s="232"/>
      <c r="E6" s="232" t="s">
        <v>60</v>
      </c>
      <c r="F6" s="224" t="s">
        <v>500</v>
      </c>
      <c r="G6" s="224"/>
      <c r="H6" s="134" t="s">
        <v>501</v>
      </c>
      <c r="I6" s="134">
        <v>2</v>
      </c>
      <c r="J6" s="232">
        <f>I6</f>
        <v>2</v>
      </c>
      <c r="K6" s="232" t="s">
        <v>54</v>
      </c>
      <c r="L6" s="232" t="s">
        <v>31</v>
      </c>
      <c r="M6" s="232" t="s">
        <v>36</v>
      </c>
      <c r="N6" s="134"/>
      <c r="O6" s="134"/>
      <c r="P6" s="134"/>
      <c r="Q6" s="275"/>
      <c r="R6" s="267"/>
      <c r="S6" s="99"/>
      <c r="T6" s="265"/>
    </row>
    <row r="7" spans="1:57" ht="35.1" customHeight="1" thickBot="1">
      <c r="A7" s="133" t="s">
        <v>222</v>
      </c>
      <c r="B7" s="272" t="s">
        <v>229</v>
      </c>
      <c r="C7" s="147"/>
      <c r="D7" s="147"/>
      <c r="E7" s="147"/>
      <c r="F7" s="273"/>
      <c r="G7" s="273"/>
      <c r="H7" s="205">
        <v>1</v>
      </c>
      <c r="I7" s="205"/>
      <c r="J7" s="147"/>
      <c r="K7" s="147"/>
      <c r="L7" s="147"/>
      <c r="M7" s="147"/>
      <c r="N7" s="205"/>
      <c r="O7" s="205"/>
      <c r="P7" s="205"/>
      <c r="Q7" s="205"/>
      <c r="R7" s="130"/>
      <c r="S7" s="128"/>
      <c r="T7" s="131"/>
    </row>
    <row r="8" spans="1:57" ht="48" customHeight="1" thickBot="1">
      <c r="A8" s="113" t="s">
        <v>241</v>
      </c>
      <c r="B8" s="114" t="s">
        <v>242</v>
      </c>
      <c r="C8" s="114" t="s">
        <v>243</v>
      </c>
      <c r="D8" s="114" t="s">
        <v>51</v>
      </c>
      <c r="E8" s="114" t="s">
        <v>244</v>
      </c>
      <c r="F8" s="115"/>
      <c r="G8" s="115" t="s">
        <v>245</v>
      </c>
      <c r="H8" s="79">
        <v>1</v>
      </c>
      <c r="I8" s="79">
        <f t="shared" ref="I8:I10" si="0">H8</f>
        <v>1</v>
      </c>
      <c r="J8" s="114" t="s">
        <v>70</v>
      </c>
      <c r="K8" s="114" t="s">
        <v>71</v>
      </c>
      <c r="L8" s="114" t="s">
        <v>246</v>
      </c>
      <c r="M8" s="114"/>
      <c r="N8" s="79"/>
      <c r="O8" s="79"/>
      <c r="P8" s="79"/>
      <c r="Q8" s="79"/>
      <c r="R8" s="116"/>
      <c r="S8" s="115"/>
      <c r="T8" s="117"/>
    </row>
    <row r="9" spans="1:57" ht="53.45" customHeight="1" thickBot="1">
      <c r="A9" s="107" t="s">
        <v>312</v>
      </c>
      <c r="B9" s="88" t="s">
        <v>313</v>
      </c>
      <c r="C9" s="88" t="s">
        <v>314</v>
      </c>
      <c r="D9" s="88" t="s">
        <v>148</v>
      </c>
      <c r="E9" s="88" t="s">
        <v>315</v>
      </c>
      <c r="F9" s="60"/>
      <c r="G9" s="60" t="s">
        <v>316</v>
      </c>
      <c r="H9" s="58">
        <v>1</v>
      </c>
      <c r="I9" s="58">
        <f t="shared" si="0"/>
        <v>1</v>
      </c>
      <c r="J9" s="88" t="s">
        <v>70</v>
      </c>
      <c r="K9" s="88" t="s">
        <v>71</v>
      </c>
      <c r="L9" s="88" t="s">
        <v>317</v>
      </c>
      <c r="M9" s="88"/>
      <c r="N9" s="58"/>
      <c r="O9" s="58"/>
      <c r="P9" s="58"/>
      <c r="Q9" s="58"/>
      <c r="R9" s="59"/>
      <c r="S9" s="60"/>
      <c r="T9" s="61"/>
    </row>
    <row r="10" spans="1:57" ht="39.6" customHeight="1" thickBot="1">
      <c r="A10" s="107" t="s">
        <v>319</v>
      </c>
      <c r="B10" s="88" t="s">
        <v>320</v>
      </c>
      <c r="C10" s="88" t="s">
        <v>321</v>
      </c>
      <c r="D10" s="88" t="s">
        <v>322</v>
      </c>
      <c r="E10" s="88" t="s">
        <v>174</v>
      </c>
      <c r="F10" s="60"/>
      <c r="G10" s="60" t="s">
        <v>323</v>
      </c>
      <c r="H10" s="58">
        <v>1</v>
      </c>
      <c r="I10" s="58">
        <f t="shared" si="0"/>
        <v>1</v>
      </c>
      <c r="J10" s="88" t="s">
        <v>324</v>
      </c>
      <c r="K10" s="88" t="s">
        <v>71</v>
      </c>
      <c r="L10" s="88" t="s">
        <v>36</v>
      </c>
      <c r="M10" s="88"/>
      <c r="N10" s="58"/>
      <c r="O10" s="58"/>
      <c r="P10" s="58"/>
      <c r="Q10" s="58"/>
      <c r="R10" s="59"/>
      <c r="S10" s="60"/>
      <c r="T10" s="61"/>
    </row>
    <row r="11" spans="1:57" ht="54" customHeight="1" thickBot="1">
      <c r="A11" s="107" t="s">
        <v>328</v>
      </c>
      <c r="B11" s="88" t="s">
        <v>329</v>
      </c>
      <c r="C11" s="88" t="s">
        <v>330</v>
      </c>
      <c r="D11" s="88" t="s">
        <v>331</v>
      </c>
      <c r="E11" s="88" t="s">
        <v>332</v>
      </c>
      <c r="F11" s="60"/>
      <c r="G11" s="60" t="s">
        <v>333</v>
      </c>
      <c r="H11" s="58">
        <v>2</v>
      </c>
      <c r="I11" s="58">
        <f>H11</f>
        <v>2</v>
      </c>
      <c r="J11" s="88" t="s">
        <v>70</v>
      </c>
      <c r="K11" s="88" t="s">
        <v>334</v>
      </c>
      <c r="L11" s="88" t="s">
        <v>36</v>
      </c>
      <c r="M11" s="88"/>
      <c r="N11" s="58"/>
      <c r="O11" s="58"/>
      <c r="P11" s="58"/>
      <c r="Q11" s="58"/>
      <c r="R11" s="59"/>
      <c r="S11" s="60"/>
      <c r="T11" s="61"/>
    </row>
    <row r="12" spans="1:57" ht="96.95" customHeight="1" thickBot="1">
      <c r="A12" s="107" t="s">
        <v>335</v>
      </c>
      <c r="B12" s="88" t="s">
        <v>336</v>
      </c>
      <c r="C12" s="88" t="s">
        <v>173</v>
      </c>
      <c r="D12" s="88" t="s">
        <v>148</v>
      </c>
      <c r="E12" s="88" t="s">
        <v>502</v>
      </c>
      <c r="F12" s="60"/>
      <c r="G12" s="60" t="s">
        <v>338</v>
      </c>
      <c r="H12" s="60">
        <v>0</v>
      </c>
      <c r="I12" s="60">
        <f>H12</f>
        <v>0</v>
      </c>
      <c r="J12" s="88"/>
      <c r="K12" s="88"/>
      <c r="L12" s="88"/>
      <c r="M12" s="88"/>
      <c r="N12" s="58"/>
      <c r="O12" s="58"/>
      <c r="P12" s="58"/>
      <c r="Q12" s="58"/>
      <c r="R12" s="59"/>
      <c r="S12" s="60"/>
      <c r="T12" s="61"/>
    </row>
    <row r="13" spans="1:57" ht="96.95" customHeight="1">
      <c r="A13" s="109"/>
      <c r="B13" s="96"/>
      <c r="C13" s="96"/>
      <c r="D13" s="96"/>
      <c r="E13" s="96"/>
      <c r="F13" s="86"/>
      <c r="G13" s="86"/>
      <c r="H13" s="86"/>
      <c r="I13" s="86"/>
      <c r="J13" s="96"/>
      <c r="K13" s="96"/>
      <c r="L13" s="96"/>
      <c r="M13" s="96"/>
      <c r="N13" s="21"/>
      <c r="O13" s="21"/>
      <c r="P13" s="21"/>
      <c r="Q13" s="21"/>
      <c r="R13" s="85"/>
      <c r="S13" s="86"/>
      <c r="T13" s="87"/>
    </row>
    <row r="14" spans="1:57" ht="96.95" customHeight="1" thickBot="1">
      <c r="A14" s="109"/>
      <c r="B14" s="96"/>
      <c r="C14" s="96"/>
      <c r="D14" s="96"/>
      <c r="E14" s="96"/>
      <c r="F14" s="86"/>
      <c r="G14" s="86"/>
      <c r="H14" s="86"/>
      <c r="I14" s="86"/>
      <c r="J14" s="96"/>
      <c r="K14" s="96"/>
      <c r="L14" s="96"/>
      <c r="M14" s="96"/>
      <c r="N14" s="21"/>
      <c r="O14" s="21"/>
      <c r="P14" s="21"/>
      <c r="Q14" s="21"/>
      <c r="R14" s="85"/>
      <c r="S14" s="86"/>
      <c r="T14" s="87"/>
    </row>
    <row r="15" spans="1:57" ht="15" customHeight="1" thickBot="1">
      <c r="A15" s="77"/>
      <c r="B15" s="78"/>
      <c r="C15" s="78"/>
      <c r="D15" s="78"/>
      <c r="E15" s="78"/>
      <c r="F15" s="78"/>
      <c r="G15" s="78"/>
      <c r="H15" s="78"/>
      <c r="I15" s="78"/>
      <c r="J15" s="78"/>
      <c r="K15" s="78"/>
      <c r="L15" s="78"/>
      <c r="M15" s="78"/>
      <c r="N15" s="78"/>
      <c r="O15" s="78"/>
      <c r="P15" s="78"/>
      <c r="Q15" s="78"/>
      <c r="R15" s="82"/>
      <c r="S15" s="83"/>
      <c r="T15" s="84"/>
    </row>
    <row r="16" spans="1:57" ht="56.45" thickBot="1">
      <c r="A16" s="190" t="s">
        <v>248</v>
      </c>
      <c r="B16" s="58" t="s">
        <v>503</v>
      </c>
      <c r="C16" s="58" t="s">
        <v>504</v>
      </c>
      <c r="D16" s="58" t="s">
        <v>505</v>
      </c>
      <c r="E16" s="58"/>
      <c r="F16" s="58" t="s">
        <v>252</v>
      </c>
      <c r="G16" s="58"/>
      <c r="H16" s="58"/>
      <c r="I16" s="58"/>
      <c r="J16" s="58"/>
      <c r="K16" s="58"/>
      <c r="L16" s="58"/>
      <c r="M16" s="38"/>
      <c r="O16" s="58" t="s">
        <v>506</v>
      </c>
      <c r="P16" s="58" t="s">
        <v>507</v>
      </c>
      <c r="Q16" s="58">
        <v>1</v>
      </c>
      <c r="R16" s="59" t="s">
        <v>508</v>
      </c>
      <c r="S16" s="60" t="s">
        <v>509</v>
      </c>
      <c r="T16" s="61"/>
    </row>
    <row r="17" spans="1:20" ht="106.5" customHeight="1">
      <c r="A17" s="495" t="s">
        <v>74</v>
      </c>
      <c r="B17" s="44" t="s">
        <v>75</v>
      </c>
      <c r="C17" s="80" t="s">
        <v>76</v>
      </c>
      <c r="D17" s="44"/>
      <c r="E17" s="44"/>
      <c r="F17" s="44"/>
      <c r="G17" s="44"/>
      <c r="H17" s="44"/>
      <c r="I17" s="44"/>
      <c r="J17" s="44"/>
      <c r="K17" s="44"/>
      <c r="L17" s="44"/>
      <c r="M17" s="38"/>
      <c r="O17" s="44"/>
      <c r="P17" s="44"/>
      <c r="Q17" s="44"/>
      <c r="R17" s="62"/>
      <c r="S17" s="62"/>
      <c r="T17" s="63"/>
    </row>
    <row r="18" spans="1:20" ht="27.95">
      <c r="A18" s="482"/>
      <c r="B18" s="19" t="s">
        <v>77</v>
      </c>
      <c r="C18" s="81"/>
      <c r="D18" s="19" t="s">
        <v>510</v>
      </c>
      <c r="E18" s="19"/>
      <c r="F18" s="19" t="s">
        <v>511</v>
      </c>
      <c r="G18" s="19"/>
      <c r="H18" s="19"/>
      <c r="I18" s="19"/>
      <c r="J18" s="19"/>
      <c r="K18" s="19"/>
      <c r="L18" s="19"/>
      <c r="M18" s="38" t="s">
        <v>36</v>
      </c>
      <c r="O18" s="19" t="s">
        <v>512</v>
      </c>
      <c r="P18" s="19" t="s">
        <v>513</v>
      </c>
      <c r="Q18" s="19" t="s">
        <v>514</v>
      </c>
      <c r="R18" s="475" t="s">
        <v>515</v>
      </c>
      <c r="S18" s="64"/>
      <c r="T18" s="65" t="s">
        <v>516</v>
      </c>
    </row>
    <row r="19" spans="1:20" ht="55.5" customHeight="1">
      <c r="A19" s="482"/>
      <c r="B19" s="19" t="s">
        <v>81</v>
      </c>
      <c r="C19" s="81"/>
      <c r="D19" s="19"/>
      <c r="E19" s="19"/>
      <c r="F19" s="19"/>
      <c r="G19" s="19"/>
      <c r="H19" s="19"/>
      <c r="I19" s="19"/>
      <c r="J19" s="19"/>
      <c r="K19" s="19"/>
      <c r="L19" s="19"/>
      <c r="M19" s="38"/>
      <c r="O19" s="19"/>
      <c r="P19" s="19"/>
      <c r="Q19" s="19"/>
      <c r="R19" s="476"/>
      <c r="S19" s="64"/>
      <c r="T19" s="65"/>
    </row>
    <row r="20" spans="1:20" ht="15" thickBot="1">
      <c r="A20" s="482"/>
      <c r="B20" s="20" t="s">
        <v>82</v>
      </c>
      <c r="C20" s="328"/>
      <c r="D20" s="20"/>
      <c r="E20" s="20"/>
      <c r="F20" s="20"/>
      <c r="G20" s="20"/>
      <c r="H20" s="20"/>
      <c r="I20" s="20"/>
      <c r="J20" s="20"/>
      <c r="K20" s="20"/>
      <c r="L20" s="20"/>
      <c r="M20" s="38"/>
      <c r="O20" s="20"/>
      <c r="P20" s="20"/>
      <c r="Q20" s="20"/>
      <c r="R20" s="476"/>
      <c r="S20" s="64"/>
      <c r="T20" s="65"/>
    </row>
    <row r="21" spans="1:20" ht="40.5" customHeight="1" thickBot="1">
      <c r="A21" s="496"/>
      <c r="B21" s="249" t="s">
        <v>83</v>
      </c>
      <c r="C21" s="329"/>
      <c r="D21" s="58"/>
      <c r="E21" s="58"/>
      <c r="F21" s="58"/>
      <c r="G21" s="58"/>
      <c r="H21" s="58"/>
      <c r="I21" s="58"/>
      <c r="J21" s="58"/>
      <c r="K21" s="58"/>
      <c r="L21" s="58"/>
      <c r="M21" s="302"/>
      <c r="N21" s="53"/>
      <c r="O21" s="58"/>
      <c r="P21" s="58"/>
      <c r="Q21" s="252"/>
      <c r="R21" s="477"/>
      <c r="S21" s="66"/>
      <c r="T21" s="67"/>
    </row>
    <row r="22" spans="1:20" ht="36.6" customHeight="1" thickBot="1">
      <c r="A22" s="481" t="s">
        <v>379</v>
      </c>
      <c r="B22" s="249" t="s">
        <v>380</v>
      </c>
      <c r="C22" s="305"/>
      <c r="D22" s="58"/>
      <c r="E22" s="58"/>
      <c r="F22" s="484" t="s">
        <v>381</v>
      </c>
      <c r="G22" s="58"/>
      <c r="H22" s="58"/>
      <c r="I22" s="58"/>
      <c r="J22" s="58"/>
      <c r="K22" s="58"/>
      <c r="L22" s="58"/>
      <c r="M22" s="253"/>
      <c r="N22" s="292"/>
      <c r="O22" s="58"/>
      <c r="P22" s="58"/>
      <c r="Q22" s="252"/>
      <c r="R22" s="327"/>
      <c r="S22" s="62"/>
      <c r="T22" s="63"/>
    </row>
    <row r="23" spans="1:20">
      <c r="A23" s="474"/>
      <c r="B23" s="464" t="s">
        <v>90</v>
      </c>
      <c r="D23" s="22" t="s">
        <v>92</v>
      </c>
      <c r="E23" s="21"/>
      <c r="F23" s="465"/>
      <c r="G23" s="21"/>
      <c r="H23" s="21"/>
      <c r="I23" s="21"/>
      <c r="J23" s="21"/>
      <c r="K23" s="21"/>
      <c r="L23" s="21"/>
      <c r="M23" s="38"/>
      <c r="O23" s="22"/>
      <c r="P23" s="22"/>
      <c r="Q23" s="22"/>
      <c r="R23" s="68"/>
      <c r="S23" s="68"/>
      <c r="T23" s="69"/>
    </row>
    <row r="24" spans="1:20">
      <c r="A24" s="474"/>
      <c r="B24" s="465"/>
      <c r="D24" s="22"/>
      <c r="E24" s="21"/>
      <c r="F24" s="465"/>
      <c r="G24" s="21"/>
      <c r="H24" s="21"/>
      <c r="I24" s="21"/>
      <c r="J24" s="21"/>
      <c r="K24" s="21"/>
      <c r="L24" s="21"/>
      <c r="M24" s="38"/>
      <c r="O24" s="22"/>
      <c r="P24" s="22"/>
      <c r="Q24" s="22"/>
      <c r="R24" s="68"/>
      <c r="S24" s="68"/>
      <c r="T24" s="69"/>
    </row>
    <row r="25" spans="1:20">
      <c r="A25" s="474"/>
      <c r="B25" s="465"/>
      <c r="D25" s="22"/>
      <c r="E25" s="21"/>
      <c r="F25" s="465"/>
      <c r="G25" s="21"/>
      <c r="H25" s="21"/>
      <c r="I25" s="21"/>
      <c r="J25" s="21"/>
      <c r="K25" s="21"/>
      <c r="L25" s="21"/>
      <c r="M25" s="38"/>
      <c r="O25" s="22"/>
      <c r="P25" s="22"/>
      <c r="Q25" s="22"/>
      <c r="R25" s="68"/>
      <c r="S25" s="68"/>
      <c r="T25" s="69"/>
    </row>
    <row r="26" spans="1:20">
      <c r="A26" s="474"/>
      <c r="B26" s="465"/>
      <c r="D26" s="22"/>
      <c r="E26" s="21"/>
      <c r="F26" s="465"/>
      <c r="G26" s="21"/>
      <c r="H26" s="21"/>
      <c r="I26" s="21"/>
      <c r="J26" s="21"/>
      <c r="K26" s="21"/>
      <c r="L26" s="21"/>
      <c r="M26" s="38"/>
      <c r="O26" s="22"/>
      <c r="P26" s="22"/>
      <c r="Q26" s="22"/>
      <c r="R26" s="68"/>
      <c r="S26" s="68"/>
      <c r="T26" s="69"/>
    </row>
    <row r="27" spans="1:20">
      <c r="A27" s="482"/>
      <c r="B27" s="19" t="s">
        <v>382</v>
      </c>
      <c r="D27" s="19"/>
      <c r="E27" s="21"/>
      <c r="F27" s="465"/>
      <c r="G27" s="21"/>
      <c r="H27" s="21"/>
      <c r="I27" s="21"/>
      <c r="J27" s="21"/>
      <c r="K27" s="21"/>
      <c r="L27" s="21"/>
      <c r="M27" s="38" t="s">
        <v>100</v>
      </c>
      <c r="O27" s="19"/>
      <c r="P27" s="19"/>
      <c r="Q27" s="19"/>
      <c r="R27" s="64"/>
      <c r="S27" s="64"/>
      <c r="T27" s="65"/>
    </row>
    <row r="28" spans="1:20" ht="28.5" customHeight="1" thickBot="1">
      <c r="A28" s="483"/>
      <c r="B28" s="45" t="s">
        <v>383</v>
      </c>
      <c r="D28" s="45"/>
      <c r="E28" s="79"/>
      <c r="F28" s="485"/>
      <c r="G28" s="79"/>
      <c r="H28" s="79"/>
      <c r="I28" s="79"/>
      <c r="J28" s="79"/>
      <c r="K28" s="79"/>
      <c r="L28" s="79"/>
      <c r="M28" s="38"/>
      <c r="O28" s="45"/>
      <c r="P28" s="45"/>
      <c r="Q28" s="45"/>
      <c r="R28" s="66"/>
      <c r="S28" s="66"/>
      <c r="T28" s="67"/>
    </row>
    <row r="29" spans="1:20" ht="92.45" customHeight="1">
      <c r="A29" s="498" t="s">
        <v>254</v>
      </c>
      <c r="B29" s="44" t="s">
        <v>255</v>
      </c>
      <c r="C29" s="44" t="s">
        <v>517</v>
      </c>
      <c r="D29" s="44"/>
      <c r="E29" s="44"/>
      <c r="F29" s="44"/>
      <c r="G29" s="44"/>
      <c r="H29" s="44"/>
      <c r="I29" s="44"/>
      <c r="J29" s="44"/>
      <c r="K29" s="44"/>
      <c r="L29" s="44"/>
      <c r="M29" s="38" t="s">
        <v>36</v>
      </c>
      <c r="O29" s="44"/>
      <c r="P29" s="44"/>
      <c r="Q29" s="44"/>
      <c r="R29" s="62"/>
      <c r="S29" s="62"/>
      <c r="T29" s="63"/>
    </row>
    <row r="30" spans="1:20" ht="80.45" customHeight="1">
      <c r="A30" s="473"/>
      <c r="B30" s="38" t="s">
        <v>259</v>
      </c>
      <c r="C30" s="22" t="s">
        <v>260</v>
      </c>
      <c r="D30" s="22"/>
      <c r="E30" s="22"/>
      <c r="F30" s="22" t="s">
        <v>261</v>
      </c>
      <c r="G30" s="22"/>
      <c r="H30" s="22"/>
      <c r="I30" s="22"/>
      <c r="J30" s="22"/>
      <c r="K30" s="22"/>
      <c r="L30" s="22"/>
      <c r="M30" s="38"/>
      <c r="O30" s="22"/>
      <c r="P30" s="22"/>
      <c r="Q30" s="22"/>
      <c r="R30" s="68" t="s">
        <v>518</v>
      </c>
      <c r="S30" s="68"/>
      <c r="T30" s="69"/>
    </row>
    <row r="31" spans="1:20" ht="72.75" customHeight="1">
      <c r="A31" s="473"/>
      <c r="B31" s="19" t="s">
        <v>519</v>
      </c>
      <c r="C31" s="19" t="s">
        <v>263</v>
      </c>
      <c r="D31" s="19"/>
      <c r="E31" s="19"/>
      <c r="F31" s="19" t="s">
        <v>264</v>
      </c>
      <c r="G31" s="19"/>
      <c r="H31" s="19"/>
      <c r="I31" s="19"/>
      <c r="J31" s="19"/>
      <c r="K31" s="19"/>
      <c r="L31" s="19"/>
      <c r="M31" s="38"/>
      <c r="O31" s="19"/>
      <c r="P31" s="19"/>
      <c r="Q31" s="19"/>
      <c r="R31" s="64"/>
      <c r="S31" s="64"/>
      <c r="T31" s="65"/>
    </row>
    <row r="32" spans="1:20" ht="81" customHeight="1" thickBot="1">
      <c r="A32" s="473"/>
      <c r="B32" s="20" t="s">
        <v>266</v>
      </c>
      <c r="C32" s="20" t="s">
        <v>267</v>
      </c>
      <c r="D32" s="20"/>
      <c r="E32" s="20"/>
      <c r="F32" s="20" t="s">
        <v>268</v>
      </c>
      <c r="G32" s="20"/>
      <c r="H32" s="20"/>
      <c r="I32" s="20"/>
      <c r="J32" s="20"/>
      <c r="K32" s="20"/>
      <c r="L32" s="20"/>
      <c r="M32" s="38"/>
      <c r="O32" s="20"/>
      <c r="P32" s="20"/>
      <c r="Q32" s="33"/>
      <c r="R32" s="64"/>
      <c r="S32" s="64"/>
      <c r="T32" s="65"/>
    </row>
    <row r="33" spans="1:20" ht="69.95" customHeight="1" thickBot="1">
      <c r="A33" s="494"/>
      <c r="B33" s="301" t="s">
        <v>269</v>
      </c>
      <c r="C33" s="78" t="s">
        <v>270</v>
      </c>
      <c r="D33" s="78" t="s">
        <v>119</v>
      </c>
      <c r="E33" s="78"/>
      <c r="F33" s="78" t="s">
        <v>271</v>
      </c>
      <c r="G33" s="78"/>
      <c r="H33" s="78" t="s">
        <v>121</v>
      </c>
      <c r="I33" s="78">
        <v>1</v>
      </c>
      <c r="J33" s="78">
        <f>I33</f>
        <v>1</v>
      </c>
      <c r="K33" s="78"/>
      <c r="L33" s="78"/>
      <c r="M33" s="302" t="s">
        <v>36</v>
      </c>
      <c r="N33" s="53"/>
      <c r="O33" s="78" t="s">
        <v>122</v>
      </c>
      <c r="P33" s="78"/>
      <c r="Q33" s="303"/>
      <c r="R33" s="243"/>
      <c r="S33" s="64"/>
      <c r="T33" s="65"/>
    </row>
    <row r="34" spans="1:20" ht="69.95" customHeight="1">
      <c r="A34" s="494"/>
      <c r="B34" s="283" t="s">
        <v>123</v>
      </c>
      <c r="C34" s="124" t="s">
        <v>124</v>
      </c>
      <c r="D34" s="124" t="s">
        <v>50</v>
      </c>
      <c r="E34" s="124" t="s">
        <v>51</v>
      </c>
      <c r="F34" s="124" t="s">
        <v>125</v>
      </c>
      <c r="G34" s="124" t="s">
        <v>126</v>
      </c>
      <c r="H34" s="124"/>
      <c r="I34" s="124">
        <v>2</v>
      </c>
      <c r="J34" s="426">
        <f>SUM(I34:I36)</f>
        <v>4</v>
      </c>
      <c r="K34" s="124"/>
      <c r="L34" s="124"/>
      <c r="M34" s="124"/>
      <c r="N34" s="261"/>
      <c r="O34" s="124" t="s">
        <v>127</v>
      </c>
      <c r="P34" s="124"/>
      <c r="Q34" s="310"/>
      <c r="R34" s="243"/>
      <c r="S34" s="64"/>
      <c r="T34" s="65"/>
    </row>
    <row r="35" spans="1:20" ht="69.95" customHeight="1">
      <c r="A35" s="494"/>
      <c r="B35" s="284"/>
      <c r="C35" s="120"/>
      <c r="D35" s="120"/>
      <c r="E35" s="120"/>
      <c r="F35" s="120"/>
      <c r="G35" s="120"/>
      <c r="H35" s="120"/>
      <c r="I35" s="120">
        <v>1</v>
      </c>
      <c r="J35" s="429"/>
      <c r="K35" s="120"/>
      <c r="L35" s="120"/>
      <c r="M35" s="120"/>
      <c r="N35" s="260"/>
      <c r="O35" s="120"/>
      <c r="P35" s="120"/>
      <c r="Q35" s="311"/>
      <c r="R35" s="243"/>
      <c r="S35" s="64"/>
      <c r="T35" s="65"/>
    </row>
    <row r="36" spans="1:20" ht="69.95" customHeight="1" thickBot="1">
      <c r="A36" s="494"/>
      <c r="B36" s="285"/>
      <c r="C36" s="129"/>
      <c r="D36" s="129"/>
      <c r="E36" s="129"/>
      <c r="F36" s="129"/>
      <c r="G36" s="129"/>
      <c r="H36" s="129"/>
      <c r="I36" s="129">
        <v>1</v>
      </c>
      <c r="J36" s="427"/>
      <c r="K36" s="129"/>
      <c r="L36" s="129"/>
      <c r="M36" s="129"/>
      <c r="N36" s="263"/>
      <c r="O36" s="129"/>
      <c r="P36" s="129"/>
      <c r="Q36" s="312"/>
      <c r="R36" s="243"/>
      <c r="S36" s="64"/>
      <c r="T36" s="65"/>
    </row>
    <row r="37" spans="1:20" ht="38.1" customHeight="1">
      <c r="A37" s="494"/>
      <c r="B37" s="336" t="s">
        <v>139</v>
      </c>
      <c r="C37" s="168" t="s">
        <v>140</v>
      </c>
      <c r="D37" s="168" t="s">
        <v>141</v>
      </c>
      <c r="E37" s="168" t="s">
        <v>142</v>
      </c>
      <c r="F37" s="168" t="s">
        <v>143</v>
      </c>
      <c r="G37" s="168"/>
      <c r="H37" s="168"/>
      <c r="I37" s="168">
        <v>1</v>
      </c>
      <c r="J37" s="78">
        <f>I37</f>
        <v>1</v>
      </c>
      <c r="K37" s="168"/>
      <c r="L37" s="168"/>
      <c r="M37" s="168" t="s">
        <v>36</v>
      </c>
      <c r="N37" s="337"/>
      <c r="O37" s="168" t="s">
        <v>144</v>
      </c>
      <c r="P37" s="168"/>
      <c r="Q37" s="338"/>
      <c r="R37" s="243"/>
      <c r="S37" s="64"/>
      <c r="T37" s="65"/>
    </row>
    <row r="38" spans="1:20" ht="39" customHeight="1">
      <c r="A38" s="494"/>
      <c r="B38" s="120"/>
      <c r="C38" s="120" t="s">
        <v>146</v>
      </c>
      <c r="D38" s="120" t="s">
        <v>147</v>
      </c>
      <c r="E38" s="120" t="s">
        <v>148</v>
      </c>
      <c r="F38" s="120" t="s">
        <v>149</v>
      </c>
      <c r="G38" s="120"/>
      <c r="H38" s="120"/>
      <c r="I38" s="120"/>
      <c r="J38" s="120"/>
      <c r="K38" s="120"/>
      <c r="L38" s="120"/>
      <c r="M38" s="120"/>
      <c r="N38" s="260"/>
      <c r="O38" s="120"/>
      <c r="P38" s="120"/>
      <c r="Q38" s="120"/>
      <c r="R38" s="243"/>
      <c r="S38" s="64"/>
      <c r="T38" s="65"/>
    </row>
    <row r="39" spans="1:20" ht="41.1" customHeight="1" thickBot="1">
      <c r="A39" s="494"/>
      <c r="B39" s="304" t="s">
        <v>151</v>
      </c>
      <c r="C39" s="79"/>
      <c r="D39" s="79" t="s">
        <v>153</v>
      </c>
      <c r="E39" s="79" t="s">
        <v>154</v>
      </c>
      <c r="F39" s="79" t="s">
        <v>53</v>
      </c>
      <c r="G39" s="79" t="s">
        <v>520</v>
      </c>
      <c r="H39" s="79" t="s">
        <v>156</v>
      </c>
      <c r="I39" s="79"/>
      <c r="J39" s="79"/>
      <c r="K39" s="79"/>
      <c r="L39" s="79"/>
      <c r="M39" s="253" t="s">
        <v>36</v>
      </c>
      <c r="N39" s="305"/>
      <c r="O39" s="79" t="s">
        <v>157</v>
      </c>
      <c r="P39" s="79"/>
      <c r="Q39" s="306"/>
      <c r="R39" s="243"/>
      <c r="S39" s="64"/>
      <c r="T39" s="65"/>
    </row>
    <row r="40" spans="1:20">
      <c r="A40" s="473"/>
      <c r="B40" s="22" t="s">
        <v>272</v>
      </c>
      <c r="C40" s="22"/>
      <c r="D40" s="22"/>
      <c r="E40" s="22"/>
      <c r="F40" s="22"/>
      <c r="G40" s="22"/>
      <c r="H40" s="22"/>
      <c r="I40" s="22">
        <v>2</v>
      </c>
      <c r="J40" s="22">
        <f>I40</f>
        <v>2</v>
      </c>
      <c r="K40" s="22"/>
      <c r="L40" s="22"/>
      <c r="M40" s="38"/>
      <c r="O40" s="22"/>
      <c r="P40" s="22"/>
      <c r="Q40" s="22"/>
      <c r="R40" s="64"/>
      <c r="S40" s="64"/>
      <c r="T40" s="65"/>
    </row>
    <row r="41" spans="1:20">
      <c r="A41" s="473"/>
      <c r="B41" s="22" t="s">
        <v>168</v>
      </c>
      <c r="C41" s="22"/>
      <c r="D41" s="22"/>
      <c r="E41" s="22"/>
      <c r="F41" s="22"/>
      <c r="G41" s="22"/>
      <c r="H41" s="22"/>
      <c r="I41" s="22"/>
      <c r="J41" s="22"/>
      <c r="K41" s="22"/>
      <c r="L41" s="22"/>
      <c r="M41" s="38"/>
      <c r="O41" s="22"/>
      <c r="P41" s="22"/>
      <c r="Q41" s="22"/>
      <c r="R41" s="64"/>
      <c r="S41" s="64"/>
      <c r="T41" s="65"/>
    </row>
    <row r="42" spans="1:20">
      <c r="A42" s="473"/>
      <c r="B42" s="19" t="s">
        <v>274</v>
      </c>
      <c r="C42" s="19"/>
      <c r="D42" s="19"/>
      <c r="E42" s="19"/>
      <c r="F42" s="19"/>
      <c r="G42" s="19"/>
      <c r="H42" s="19"/>
      <c r="I42" s="19"/>
      <c r="J42" s="19"/>
      <c r="K42" s="19"/>
      <c r="L42" s="19"/>
      <c r="M42" s="38"/>
      <c r="O42" s="19"/>
      <c r="P42" s="19"/>
      <c r="Q42" s="19"/>
      <c r="R42" s="64"/>
      <c r="S42" s="64"/>
      <c r="T42" s="65"/>
    </row>
    <row r="43" spans="1:20" ht="63.6" customHeight="1">
      <c r="A43" s="473"/>
      <c r="B43" s="38" t="s">
        <v>275</v>
      </c>
      <c r="C43" s="19" t="s">
        <v>276</v>
      </c>
      <c r="D43" s="19"/>
      <c r="E43" s="19"/>
      <c r="F43" s="19" t="s">
        <v>277</v>
      </c>
      <c r="G43" s="19"/>
      <c r="H43" s="19"/>
      <c r="I43" s="19"/>
      <c r="J43" s="19"/>
      <c r="K43" s="19"/>
      <c r="L43" s="19"/>
      <c r="M43" s="38"/>
      <c r="O43" s="19"/>
      <c r="P43" s="19"/>
      <c r="Q43" s="19"/>
      <c r="R43" s="64"/>
      <c r="S43" s="64"/>
      <c r="T43" s="65"/>
    </row>
    <row r="44" spans="1:20" ht="240.75" customHeight="1" thickBot="1">
      <c r="A44" s="499"/>
      <c r="B44" s="45" t="s">
        <v>278</v>
      </c>
      <c r="C44" s="70"/>
      <c r="D44" s="45"/>
      <c r="E44" s="45"/>
      <c r="F44" s="45"/>
      <c r="G44" s="45"/>
      <c r="H44" s="45"/>
      <c r="I44" s="45"/>
      <c r="J44" s="45"/>
      <c r="K44" s="45"/>
      <c r="L44" s="45"/>
      <c r="M44" s="38"/>
      <c r="O44" s="45"/>
      <c r="P44" s="45"/>
      <c r="Q44" s="45"/>
      <c r="R44" s="66"/>
      <c r="S44" s="66"/>
      <c r="T44" s="67"/>
    </row>
    <row r="45" spans="1:20" ht="96.75" customHeight="1">
      <c r="A45" s="498" t="s">
        <v>279</v>
      </c>
      <c r="B45" s="44" t="s">
        <v>521</v>
      </c>
      <c r="C45" s="464" t="s">
        <v>281</v>
      </c>
      <c r="D45" s="464"/>
      <c r="E45" s="78"/>
      <c r="F45" s="464" t="s">
        <v>282</v>
      </c>
      <c r="G45" s="78"/>
      <c r="H45" s="78"/>
      <c r="I45" s="78"/>
      <c r="J45" s="78"/>
      <c r="K45" s="78"/>
      <c r="L45" s="78"/>
      <c r="M45" s="38"/>
      <c r="O45" s="44"/>
      <c r="P45" s="44"/>
      <c r="Q45" s="44"/>
      <c r="R45" s="62"/>
      <c r="S45" s="62"/>
      <c r="T45" s="63"/>
    </row>
    <row r="46" spans="1:20" ht="18.600000000000001" customHeight="1" thickBot="1">
      <c r="A46" s="473"/>
      <c r="B46" s="19" t="s">
        <v>283</v>
      </c>
      <c r="C46" s="478"/>
      <c r="D46" s="478"/>
      <c r="E46" s="22"/>
      <c r="F46" s="478"/>
      <c r="G46" s="22"/>
      <c r="H46" s="22"/>
      <c r="I46" s="22"/>
      <c r="J46" s="22"/>
      <c r="K46" s="22"/>
      <c r="L46" s="22"/>
      <c r="M46" s="38"/>
      <c r="O46" s="19"/>
      <c r="P46" s="19"/>
      <c r="Q46" s="19"/>
      <c r="R46" s="64"/>
      <c r="S46" s="64"/>
      <c r="T46" s="65"/>
    </row>
    <row r="47" spans="1:20" ht="85.5" customHeight="1" thickBot="1">
      <c r="A47" s="499"/>
      <c r="B47" s="71" t="s">
        <v>522</v>
      </c>
      <c r="C47" s="45" t="s">
        <v>285</v>
      </c>
      <c r="D47" s="45"/>
      <c r="E47" s="45"/>
      <c r="F47" s="45" t="s">
        <v>286</v>
      </c>
      <c r="G47" s="45"/>
      <c r="H47" s="45"/>
      <c r="I47" s="45"/>
      <c r="J47" s="45"/>
      <c r="K47" s="45"/>
      <c r="L47" s="45"/>
      <c r="M47" s="38"/>
      <c r="O47" s="45"/>
      <c r="P47" s="45"/>
      <c r="Q47" s="45"/>
      <c r="R47" s="66" t="s">
        <v>523</v>
      </c>
      <c r="S47" s="66"/>
      <c r="T47" s="67"/>
    </row>
    <row r="48" spans="1:20" ht="15" thickBot="1">
      <c r="B48" s="33"/>
      <c r="C48" s="32"/>
      <c r="D48" s="4"/>
      <c r="E48" s="4"/>
      <c r="F48" s="4"/>
      <c r="G48" s="4"/>
      <c r="H48" s="4"/>
      <c r="I48" s="4"/>
      <c r="J48" s="4"/>
      <c r="K48" s="4"/>
      <c r="L48" s="4"/>
      <c r="M48" s="111"/>
      <c r="O48" s="4"/>
      <c r="P48" s="4"/>
      <c r="Q48" s="4"/>
      <c r="R48" s="5"/>
      <c r="S48" s="5"/>
      <c r="T48" s="47"/>
    </row>
    <row r="49" spans="1:20" ht="215.1" customHeight="1">
      <c r="A49" s="486" t="s">
        <v>16</v>
      </c>
      <c r="B49" s="72" t="s">
        <v>524</v>
      </c>
      <c r="C49" s="35" t="s">
        <v>525</v>
      </c>
      <c r="D49" s="2"/>
      <c r="E49" s="2"/>
      <c r="F49" s="2" t="s">
        <v>19</v>
      </c>
      <c r="G49" s="2"/>
      <c r="H49" s="2"/>
      <c r="I49" s="2"/>
      <c r="J49" s="2"/>
      <c r="K49" s="2"/>
      <c r="L49" s="2"/>
      <c r="M49" s="111"/>
      <c r="O49" s="2"/>
      <c r="P49" s="2"/>
      <c r="Q49" s="2"/>
      <c r="R49" s="3"/>
      <c r="S49" s="3"/>
      <c r="T49" s="46"/>
    </row>
    <row r="50" spans="1:20" ht="99" thickBot="1">
      <c r="A50" s="473"/>
      <c r="B50" s="73" t="s">
        <v>20</v>
      </c>
      <c r="C50" s="35"/>
      <c r="D50" s="2"/>
      <c r="E50" s="2"/>
      <c r="F50" s="2" t="s">
        <v>526</v>
      </c>
      <c r="G50" s="2"/>
      <c r="H50" s="2"/>
      <c r="I50" s="2"/>
      <c r="J50" s="2"/>
      <c r="K50" s="2"/>
      <c r="L50" s="2"/>
      <c r="M50" s="111"/>
      <c r="O50" s="2"/>
      <c r="P50" s="2"/>
      <c r="Q50" s="2"/>
      <c r="R50" s="3"/>
      <c r="S50" s="3"/>
      <c r="T50" s="46"/>
    </row>
    <row r="51" spans="1:20">
      <c r="A51" s="30"/>
      <c r="B51" s="21"/>
      <c r="C51" s="19"/>
      <c r="D51" s="2"/>
      <c r="E51" s="2"/>
      <c r="F51" s="2"/>
      <c r="G51" s="2"/>
      <c r="H51" s="2"/>
      <c r="I51" s="2"/>
      <c r="J51" s="2"/>
      <c r="K51" s="2"/>
      <c r="L51" s="2"/>
      <c r="M51" s="111"/>
      <c r="O51" s="2"/>
      <c r="P51" s="2"/>
      <c r="Q51" s="2"/>
      <c r="R51" s="3"/>
      <c r="S51" s="3"/>
      <c r="T51" s="46"/>
    </row>
    <row r="52" spans="1:20" ht="15" thickBot="1">
      <c r="A52" s="34"/>
      <c r="B52" s="38"/>
      <c r="C52" s="35"/>
      <c r="D52" s="2"/>
      <c r="E52" s="2"/>
      <c r="F52" s="2"/>
      <c r="G52" s="2"/>
      <c r="H52" s="2"/>
      <c r="I52" s="2"/>
      <c r="J52" s="2"/>
      <c r="K52" s="2"/>
      <c r="L52" s="2"/>
      <c r="M52" s="111"/>
      <c r="O52" s="2"/>
      <c r="P52" s="2"/>
      <c r="Q52" s="2"/>
      <c r="R52" s="3"/>
      <c r="S52" s="3"/>
      <c r="T52" s="46"/>
    </row>
    <row r="53" spans="1:20" ht="28.5">
      <c r="A53" s="473" t="s">
        <v>385</v>
      </c>
      <c r="B53" s="74" t="s">
        <v>386</v>
      </c>
      <c r="C53" s="35"/>
      <c r="D53" s="2"/>
      <c r="E53" s="2"/>
      <c r="F53" s="2" t="s">
        <v>387</v>
      </c>
      <c r="G53" s="2"/>
      <c r="H53" s="2"/>
      <c r="I53" s="2"/>
      <c r="J53" s="2"/>
      <c r="K53" s="2"/>
      <c r="L53" s="2"/>
      <c r="M53" s="111"/>
      <c r="O53" s="2"/>
      <c r="P53" s="2"/>
      <c r="Q53" s="2"/>
      <c r="R53" s="3"/>
      <c r="S53" s="3"/>
      <c r="T53" s="46"/>
    </row>
    <row r="54" spans="1:20" ht="15" thickBot="1">
      <c r="A54" s="497"/>
      <c r="B54" s="73" t="s">
        <v>389</v>
      </c>
      <c r="C54" s="35"/>
      <c r="D54" s="2"/>
      <c r="E54" s="2"/>
      <c r="F54" s="2"/>
      <c r="G54" s="2"/>
      <c r="H54" s="2"/>
      <c r="I54" s="2"/>
      <c r="J54" s="2"/>
      <c r="K54" s="2"/>
      <c r="L54" s="2"/>
      <c r="M54" s="111"/>
      <c r="O54" s="2"/>
      <c r="P54" s="2"/>
      <c r="Q54" s="2"/>
      <c r="R54" s="3"/>
      <c r="S54" s="3"/>
      <c r="T54" s="46"/>
    </row>
    <row r="55" spans="1:20">
      <c r="A55" s="32"/>
      <c r="B55" s="22"/>
      <c r="C55" s="19"/>
      <c r="D55" s="2"/>
      <c r="E55" s="2"/>
      <c r="F55" s="2"/>
      <c r="G55" s="2"/>
      <c r="H55" s="2"/>
      <c r="I55" s="2"/>
      <c r="J55" s="2"/>
      <c r="K55" s="2"/>
      <c r="L55" s="2"/>
      <c r="M55" s="111"/>
      <c r="O55" s="2"/>
      <c r="P55" s="2"/>
      <c r="Q55" s="2"/>
      <c r="R55" s="3"/>
      <c r="S55" s="3"/>
      <c r="T55" s="46"/>
    </row>
    <row r="56" spans="1:20">
      <c r="A56" s="472" t="s">
        <v>527</v>
      </c>
      <c r="B56" s="19" t="s">
        <v>293</v>
      </c>
      <c r="C56" s="19"/>
      <c r="D56" s="2"/>
      <c r="E56" s="2"/>
      <c r="F56" s="2" t="s">
        <v>294</v>
      </c>
      <c r="G56" s="2"/>
      <c r="H56" s="2"/>
      <c r="I56" s="2"/>
      <c r="J56" s="2"/>
      <c r="K56" s="2"/>
      <c r="L56" s="2"/>
      <c r="M56" s="111"/>
      <c r="O56" s="2"/>
      <c r="P56" s="2"/>
      <c r="Q56" s="2"/>
      <c r="R56" s="3"/>
      <c r="S56" s="3"/>
      <c r="T56" s="46"/>
    </row>
    <row r="57" spans="1:20">
      <c r="A57" s="473"/>
      <c r="B57" s="19" t="s">
        <v>295</v>
      </c>
      <c r="C57" s="19"/>
      <c r="D57" s="2"/>
      <c r="E57" s="2"/>
      <c r="F57" s="2" t="s">
        <v>294</v>
      </c>
      <c r="G57" s="2"/>
      <c r="H57" s="2"/>
      <c r="I57" s="2"/>
      <c r="J57" s="2"/>
      <c r="K57" s="2"/>
      <c r="L57" s="2"/>
      <c r="M57" s="111"/>
      <c r="O57" s="2"/>
      <c r="P57" s="2"/>
      <c r="Q57" s="2"/>
      <c r="R57" s="3"/>
      <c r="S57" s="3"/>
      <c r="T57" s="46"/>
    </row>
    <row r="58" spans="1:20" ht="28.5">
      <c r="A58" s="474"/>
      <c r="B58" s="19" t="s">
        <v>296</v>
      </c>
      <c r="C58" s="19"/>
      <c r="D58" s="2"/>
      <c r="E58" s="2"/>
      <c r="F58" s="2" t="s">
        <v>297</v>
      </c>
      <c r="G58" s="2"/>
      <c r="H58" s="2"/>
      <c r="I58" s="2"/>
      <c r="J58" s="2"/>
      <c r="K58" s="2"/>
      <c r="L58" s="2"/>
      <c r="M58" s="111"/>
      <c r="O58" s="2"/>
      <c r="P58" s="2"/>
      <c r="Q58" s="2"/>
      <c r="R58" s="3"/>
      <c r="S58" s="3"/>
      <c r="T58" s="46"/>
    </row>
    <row r="59" spans="1:20">
      <c r="A59" s="35"/>
      <c r="B59" s="19"/>
      <c r="C59" s="19"/>
      <c r="D59" s="2"/>
      <c r="E59" s="2"/>
      <c r="F59" s="2"/>
      <c r="G59" s="2"/>
      <c r="H59" s="2"/>
      <c r="I59" s="2"/>
      <c r="J59" s="2"/>
      <c r="K59" s="2"/>
      <c r="L59" s="2"/>
      <c r="M59" s="111"/>
      <c r="O59" s="2"/>
      <c r="P59" s="2"/>
      <c r="Q59" s="2"/>
      <c r="R59" s="3"/>
      <c r="S59" s="3"/>
      <c r="T59" s="46"/>
    </row>
    <row r="60" spans="1:20" ht="93.95" customHeight="1">
      <c r="A60" s="472" t="s">
        <v>85</v>
      </c>
      <c r="B60" s="19" t="s">
        <v>86</v>
      </c>
      <c r="C60" s="479" t="s">
        <v>528</v>
      </c>
      <c r="D60" s="466"/>
      <c r="E60" s="1"/>
      <c r="F60" s="2" t="s">
        <v>529</v>
      </c>
      <c r="G60" s="1"/>
      <c r="H60" s="1"/>
      <c r="I60" s="1"/>
      <c r="J60" s="1"/>
      <c r="K60" s="1"/>
      <c r="L60" s="1"/>
      <c r="M60" s="111"/>
      <c r="O60" s="2"/>
      <c r="P60" s="2"/>
      <c r="Q60" s="2"/>
      <c r="R60" s="3"/>
      <c r="S60" s="3"/>
      <c r="T60" s="46"/>
    </row>
    <row r="61" spans="1:20" ht="28.5">
      <c r="A61" s="474"/>
      <c r="B61" s="19" t="s">
        <v>88</v>
      </c>
      <c r="C61" s="478"/>
      <c r="D61" s="480"/>
      <c r="E61" s="4"/>
      <c r="F61" s="2" t="s">
        <v>530</v>
      </c>
      <c r="G61" s="4"/>
      <c r="H61" s="4"/>
      <c r="I61" s="4"/>
      <c r="J61" s="4">
        <f>SUM(I61:I69)</f>
        <v>0</v>
      </c>
      <c r="K61" s="4"/>
      <c r="L61" s="4"/>
      <c r="M61" s="111"/>
      <c r="O61" s="2"/>
      <c r="P61" s="2"/>
      <c r="Q61" s="2"/>
      <c r="R61" s="3" t="s">
        <v>531</v>
      </c>
      <c r="S61" s="3"/>
      <c r="T61" s="46"/>
    </row>
    <row r="62" spans="1:20">
      <c r="A62" s="35"/>
      <c r="B62" s="19"/>
      <c r="C62" s="19"/>
      <c r="D62" s="2"/>
      <c r="E62" s="2"/>
      <c r="F62" s="2"/>
      <c r="G62" s="2"/>
      <c r="H62" s="2"/>
      <c r="I62" s="2"/>
      <c r="J62" s="2"/>
      <c r="K62" s="2"/>
      <c r="L62" s="2"/>
      <c r="M62" s="111"/>
      <c r="O62" s="2"/>
      <c r="P62" s="2"/>
      <c r="Q62" s="2"/>
      <c r="R62" s="3"/>
      <c r="S62" s="3"/>
      <c r="T62" s="46"/>
    </row>
    <row r="63" spans="1:20" ht="28.5">
      <c r="A63" s="39" t="s">
        <v>479</v>
      </c>
      <c r="B63" s="19" t="s">
        <v>480</v>
      </c>
      <c r="C63" s="19"/>
      <c r="D63" s="2"/>
      <c r="E63" s="2"/>
      <c r="F63" s="2" t="s">
        <v>481</v>
      </c>
      <c r="G63" s="2"/>
      <c r="H63" s="2"/>
      <c r="I63" s="2"/>
      <c r="J63" s="2"/>
      <c r="K63" s="2"/>
      <c r="L63" s="2"/>
      <c r="M63" s="111"/>
      <c r="O63" s="2"/>
      <c r="P63" s="2"/>
      <c r="Q63" s="2"/>
      <c r="R63" s="3"/>
      <c r="S63" s="3"/>
      <c r="T63" s="46"/>
    </row>
    <row r="64" spans="1:20">
      <c r="A64" s="35"/>
      <c r="B64" s="19"/>
      <c r="C64" s="19"/>
      <c r="D64" s="2"/>
      <c r="E64" s="2"/>
      <c r="F64" s="2"/>
      <c r="G64" s="2"/>
      <c r="H64" s="2"/>
      <c r="I64" s="2"/>
      <c r="J64" s="2"/>
      <c r="K64" s="2"/>
      <c r="L64" s="2"/>
      <c r="M64" s="111"/>
      <c r="O64" s="2"/>
      <c r="P64" s="2"/>
      <c r="Q64" s="2"/>
      <c r="R64" s="3"/>
      <c r="S64" s="3"/>
      <c r="T64" s="46"/>
    </row>
    <row r="65" spans="1:20" ht="39.950000000000003" customHeight="1">
      <c r="A65" s="39" t="s">
        <v>303</v>
      </c>
      <c r="B65" s="19" t="s">
        <v>532</v>
      </c>
      <c r="C65" s="19"/>
      <c r="D65" s="2"/>
      <c r="E65" s="2"/>
      <c r="F65" s="19" t="s">
        <v>533</v>
      </c>
      <c r="G65" s="2"/>
      <c r="H65" s="2"/>
      <c r="I65" s="2"/>
      <c r="J65" s="2"/>
      <c r="K65" s="2"/>
      <c r="L65" s="2"/>
      <c r="M65" s="111"/>
      <c r="O65" s="2"/>
      <c r="P65" s="2"/>
      <c r="Q65" s="2"/>
      <c r="R65" s="3"/>
      <c r="S65" s="3"/>
      <c r="T65" s="46"/>
    </row>
    <row r="66" spans="1:20" ht="38.1" customHeight="1">
      <c r="A66" s="36"/>
      <c r="B66" s="19"/>
      <c r="C66" s="19"/>
      <c r="D66" s="2"/>
      <c r="E66" s="2"/>
      <c r="F66" s="2"/>
      <c r="G66" s="2"/>
      <c r="H66" s="2"/>
      <c r="I66" s="2"/>
      <c r="J66" s="2"/>
      <c r="K66" s="2"/>
      <c r="L66" s="2"/>
      <c r="M66" s="111"/>
      <c r="O66" s="2"/>
      <c r="P66" s="2"/>
      <c r="Q66" s="2"/>
      <c r="R66" s="3"/>
      <c r="S66" s="3"/>
      <c r="T66" s="46"/>
    </row>
    <row r="67" spans="1:20" ht="29.1" customHeight="1">
      <c r="A67" s="207" t="s">
        <v>103</v>
      </c>
      <c r="B67" s="19" t="s">
        <v>104</v>
      </c>
      <c r="C67" s="19" t="s">
        <v>105</v>
      </c>
      <c r="D67" s="2"/>
      <c r="E67" s="2"/>
      <c r="F67" s="2" t="s">
        <v>108</v>
      </c>
      <c r="G67" s="2"/>
      <c r="H67" s="2"/>
      <c r="I67" s="2"/>
      <c r="J67" s="2"/>
      <c r="K67" s="2"/>
      <c r="L67" s="2"/>
      <c r="M67" s="111"/>
      <c r="O67" s="2"/>
      <c r="P67" s="2"/>
      <c r="Q67" s="2"/>
      <c r="R67" s="3"/>
      <c r="S67" s="3"/>
      <c r="T67" s="46"/>
    </row>
    <row r="68" spans="1:20" ht="98.45">
      <c r="A68" s="211"/>
      <c r="B68" s="19" t="s">
        <v>534</v>
      </c>
      <c r="C68" s="19" t="s">
        <v>535</v>
      </c>
      <c r="D68" s="2"/>
      <c r="E68" s="2"/>
      <c r="F68" s="2" t="s">
        <v>536</v>
      </c>
      <c r="G68" s="2"/>
      <c r="H68" s="2"/>
      <c r="I68" s="2"/>
      <c r="J68" s="2"/>
      <c r="K68" s="2"/>
      <c r="L68" s="2"/>
      <c r="M68" s="111"/>
      <c r="O68" s="2"/>
      <c r="P68" s="2"/>
      <c r="Q68" s="2"/>
      <c r="R68" s="3"/>
      <c r="S68" s="3"/>
      <c r="T68" s="46"/>
    </row>
    <row r="69" spans="1:20" ht="27.6" customHeight="1" thickBot="1">
      <c r="A69" s="211"/>
      <c r="B69" s="20" t="s">
        <v>115</v>
      </c>
      <c r="C69" s="20"/>
      <c r="D69" s="1"/>
      <c r="E69" s="1"/>
      <c r="F69" s="1"/>
      <c r="G69" s="1"/>
      <c r="H69" s="1"/>
      <c r="I69" s="1"/>
      <c r="J69" s="1"/>
      <c r="K69" s="1"/>
      <c r="L69" s="1"/>
      <c r="M69" s="111"/>
      <c r="O69" s="1"/>
      <c r="P69" s="1"/>
      <c r="Q69" s="1"/>
      <c r="R69" s="3"/>
      <c r="S69" s="3"/>
      <c r="T69" s="46"/>
    </row>
    <row r="70" spans="1:20" ht="70.5">
      <c r="A70" s="279"/>
      <c r="B70" s="286" t="s">
        <v>116</v>
      </c>
      <c r="C70" s="44" t="s">
        <v>105</v>
      </c>
      <c r="D70" s="287"/>
      <c r="E70" s="287"/>
      <c r="F70" s="287" t="s">
        <v>108</v>
      </c>
      <c r="G70" s="287"/>
      <c r="H70" s="287"/>
      <c r="I70" s="287"/>
      <c r="J70" s="287"/>
      <c r="K70" s="287"/>
      <c r="L70" s="287"/>
      <c r="M70" s="288"/>
      <c r="N70" s="53"/>
      <c r="O70" s="287"/>
      <c r="P70" s="287"/>
      <c r="Q70" s="289"/>
      <c r="R70" s="15"/>
      <c r="S70" s="3"/>
      <c r="T70" s="46"/>
    </row>
    <row r="71" spans="1:20">
      <c r="A71" s="320"/>
      <c r="B71" s="290"/>
      <c r="C71" s="19"/>
      <c r="D71" s="2"/>
      <c r="E71" s="2"/>
      <c r="F71" s="2"/>
      <c r="G71" s="2"/>
      <c r="H71" s="2"/>
      <c r="I71" s="2"/>
      <c r="J71" s="2"/>
      <c r="K71" s="2"/>
      <c r="L71" s="2"/>
      <c r="M71" s="111"/>
      <c r="O71" s="2"/>
      <c r="P71" s="2"/>
      <c r="Q71" s="291"/>
      <c r="R71" s="15"/>
      <c r="S71" s="3"/>
      <c r="T71" s="46"/>
    </row>
    <row r="72" spans="1:20" ht="168.6" thickBot="1">
      <c r="A72" s="321" t="s">
        <v>537</v>
      </c>
      <c r="B72" s="293" t="s">
        <v>97</v>
      </c>
      <c r="C72" s="487" t="s">
        <v>98</v>
      </c>
      <c r="D72" s="1"/>
      <c r="E72" s="1"/>
      <c r="F72" s="20" t="s">
        <v>538</v>
      </c>
      <c r="G72" s="1"/>
      <c r="H72" s="1"/>
      <c r="I72" s="1"/>
      <c r="J72" s="1"/>
      <c r="K72" s="1"/>
      <c r="L72" s="1"/>
      <c r="M72" s="111"/>
      <c r="O72" s="1"/>
      <c r="P72" s="1"/>
      <c r="Q72" s="294"/>
      <c r="R72" s="15"/>
      <c r="S72" s="3"/>
      <c r="T72" s="46"/>
    </row>
    <row r="73" spans="1:20" ht="51.6" customHeight="1">
      <c r="A73" s="259"/>
      <c r="B73" s="468" t="s">
        <v>287</v>
      </c>
      <c r="C73" s="488"/>
      <c r="D73" s="209"/>
      <c r="E73" s="209" t="s">
        <v>148</v>
      </c>
      <c r="F73" s="124" t="s">
        <v>289</v>
      </c>
      <c r="G73" s="209"/>
      <c r="H73" s="209"/>
      <c r="I73" s="209">
        <v>1</v>
      </c>
      <c r="J73" s="470">
        <f>SUM(I73:I74)</f>
        <v>1</v>
      </c>
      <c r="K73" s="209"/>
      <c r="L73" s="209"/>
      <c r="M73" s="209"/>
      <c r="N73" s="261"/>
      <c r="O73" s="209"/>
      <c r="P73" s="209"/>
      <c r="Q73" s="262"/>
      <c r="R73" s="15"/>
      <c r="S73" s="3"/>
      <c r="T73" s="46"/>
    </row>
    <row r="74" spans="1:20" ht="52.5" customHeight="1" thickBot="1">
      <c r="A74" s="259"/>
      <c r="B74" s="469"/>
      <c r="C74" s="489"/>
      <c r="D74" s="210"/>
      <c r="E74" s="210"/>
      <c r="F74" s="129"/>
      <c r="G74" s="210"/>
      <c r="H74" s="210"/>
      <c r="I74" s="210">
        <v>0</v>
      </c>
      <c r="J74" s="471"/>
      <c r="K74" s="210"/>
      <c r="L74" s="210"/>
      <c r="M74" s="210"/>
      <c r="N74" s="263"/>
      <c r="O74" s="210"/>
      <c r="P74" s="210"/>
      <c r="Q74" s="264"/>
      <c r="R74" s="15"/>
      <c r="S74" s="3"/>
      <c r="T74" s="46"/>
    </row>
    <row r="75" spans="1:20">
      <c r="A75" s="279"/>
      <c r="B75" s="322" t="s">
        <v>102</v>
      </c>
      <c r="C75" s="490"/>
      <c r="D75" s="4"/>
      <c r="E75" s="4"/>
      <c r="F75" s="4"/>
      <c r="G75" s="4"/>
      <c r="H75" s="4"/>
      <c r="I75" s="4"/>
      <c r="J75" s="4"/>
      <c r="K75" s="4"/>
      <c r="L75" s="4"/>
      <c r="M75" s="111"/>
      <c r="O75" s="4"/>
      <c r="P75" s="4"/>
      <c r="Q75" s="323"/>
      <c r="R75" s="15"/>
      <c r="S75" s="3"/>
      <c r="T75" s="46"/>
    </row>
    <row r="76" spans="1:20">
      <c r="A76" s="258"/>
      <c r="B76" s="290"/>
      <c r="C76" s="19"/>
      <c r="D76" s="2"/>
      <c r="E76" s="2"/>
      <c r="F76" s="2"/>
      <c r="G76" s="2"/>
      <c r="H76" s="2"/>
      <c r="I76" s="2"/>
      <c r="J76" s="2"/>
      <c r="K76" s="2"/>
      <c r="L76" s="2"/>
      <c r="M76" s="111"/>
      <c r="O76" s="2"/>
      <c r="P76" s="2"/>
      <c r="Q76" s="291"/>
      <c r="R76" s="15"/>
      <c r="S76" s="3"/>
      <c r="T76" s="46"/>
    </row>
    <row r="77" spans="1:20" ht="29.1" thickBot="1">
      <c r="A77" s="493" t="s">
        <v>193</v>
      </c>
      <c r="B77" s="293" t="s">
        <v>194</v>
      </c>
      <c r="C77" s="20"/>
      <c r="D77" s="1"/>
      <c r="E77" s="1"/>
      <c r="F77" s="1" t="s">
        <v>195</v>
      </c>
      <c r="G77" s="1"/>
      <c r="H77" s="1"/>
      <c r="I77" s="1"/>
      <c r="J77" s="1"/>
      <c r="K77" s="1"/>
      <c r="L77" s="1"/>
      <c r="M77" s="111"/>
      <c r="O77" s="1"/>
      <c r="P77" s="1"/>
      <c r="Q77" s="294"/>
      <c r="R77" s="15"/>
      <c r="S77" s="3"/>
      <c r="T77" s="46"/>
    </row>
    <row r="78" spans="1:20" ht="15" thickBot="1">
      <c r="A78" s="494"/>
      <c r="B78" s="296"/>
      <c r="C78" s="134" t="s">
        <v>298</v>
      </c>
      <c r="D78" s="198"/>
      <c r="E78" s="198"/>
      <c r="F78" s="198"/>
      <c r="G78" s="198"/>
      <c r="H78" s="198"/>
      <c r="I78" s="198"/>
      <c r="J78" s="198"/>
      <c r="K78" s="198"/>
      <c r="L78" s="198"/>
      <c r="M78" s="198"/>
      <c r="N78" s="297"/>
      <c r="O78" s="198"/>
      <c r="P78" s="198"/>
      <c r="Q78" s="298"/>
      <c r="R78" s="15"/>
      <c r="S78" s="3"/>
      <c r="T78" s="46"/>
    </row>
    <row r="79" spans="1:20" ht="28.5">
      <c r="A79" s="473"/>
      <c r="B79" s="22" t="s">
        <v>197</v>
      </c>
      <c r="C79" s="22" t="s">
        <v>198</v>
      </c>
      <c r="D79" s="4" t="s">
        <v>199</v>
      </c>
      <c r="E79" s="4"/>
      <c r="F79" s="4" t="s">
        <v>200</v>
      </c>
      <c r="G79" s="4"/>
      <c r="H79" s="4"/>
      <c r="I79" s="4"/>
      <c r="J79" s="4"/>
      <c r="K79" s="4"/>
      <c r="L79" s="4"/>
      <c r="M79" s="111"/>
      <c r="O79" s="4"/>
      <c r="P79" s="4"/>
      <c r="Q79" s="4"/>
      <c r="R79" s="3" t="s">
        <v>539</v>
      </c>
      <c r="S79" s="3" t="s">
        <v>540</v>
      </c>
      <c r="T79" s="46"/>
    </row>
    <row r="80" spans="1:20">
      <c r="A80" s="473"/>
      <c r="B80" s="19" t="s">
        <v>203</v>
      </c>
      <c r="C80" s="19"/>
      <c r="D80" s="2"/>
      <c r="E80" s="2"/>
      <c r="F80" s="2" t="s">
        <v>204</v>
      </c>
      <c r="G80" s="2"/>
      <c r="H80" s="2"/>
      <c r="I80" s="2"/>
      <c r="J80" s="2"/>
      <c r="K80" s="2"/>
      <c r="L80" s="2"/>
      <c r="M80" s="111"/>
      <c r="O80" s="2"/>
      <c r="P80" s="2"/>
      <c r="Q80" s="2"/>
      <c r="R80" s="3"/>
      <c r="S80" s="3"/>
      <c r="T80" s="46"/>
    </row>
    <row r="81" spans="1:20" ht="112.5">
      <c r="A81" s="473"/>
      <c r="B81" s="19" t="s">
        <v>205</v>
      </c>
      <c r="C81" s="19" t="s">
        <v>206</v>
      </c>
      <c r="D81" s="2"/>
      <c r="E81" s="2"/>
      <c r="F81" s="2" t="s">
        <v>207</v>
      </c>
      <c r="G81" s="2"/>
      <c r="H81" s="2"/>
      <c r="I81" s="2"/>
      <c r="J81" s="2"/>
      <c r="K81" s="2"/>
      <c r="L81" s="2"/>
      <c r="M81" s="111"/>
      <c r="O81" s="2"/>
      <c r="P81" s="2"/>
      <c r="Q81" s="2"/>
      <c r="R81" s="3" t="s">
        <v>541</v>
      </c>
      <c r="S81" s="3"/>
      <c r="T81" s="46"/>
    </row>
    <row r="82" spans="1:20" ht="28.5">
      <c r="A82" s="473"/>
      <c r="B82" s="19" t="s">
        <v>210</v>
      </c>
      <c r="C82" s="19"/>
      <c r="D82" s="2"/>
      <c r="E82" s="2"/>
      <c r="F82" s="2" t="s">
        <v>211</v>
      </c>
      <c r="G82" s="2"/>
      <c r="H82" s="2"/>
      <c r="I82" s="2"/>
      <c r="J82" s="2"/>
      <c r="K82" s="2"/>
      <c r="L82" s="2"/>
      <c r="M82" s="111"/>
      <c r="O82" s="2"/>
      <c r="P82" s="2"/>
      <c r="Q82" s="2"/>
      <c r="R82" s="3"/>
      <c r="S82" s="3"/>
      <c r="T82" s="46"/>
    </row>
    <row r="83" spans="1:20" ht="42.6">
      <c r="A83" s="473"/>
      <c r="B83" s="19" t="s">
        <v>213</v>
      </c>
      <c r="C83" s="19"/>
      <c r="D83" s="2"/>
      <c r="E83" s="2"/>
      <c r="F83" s="2" t="s">
        <v>214</v>
      </c>
      <c r="G83" s="2"/>
      <c r="H83" s="2"/>
      <c r="I83" s="2"/>
      <c r="J83" s="2"/>
      <c r="K83" s="2"/>
      <c r="L83" s="2"/>
      <c r="M83" s="111"/>
      <c r="O83" s="2"/>
      <c r="P83" s="2"/>
      <c r="Q83" s="2"/>
      <c r="R83" s="3"/>
      <c r="S83" s="3"/>
      <c r="T83" s="46"/>
    </row>
    <row r="84" spans="1:20" ht="56.45">
      <c r="A84" s="473"/>
      <c r="B84" s="19" t="s">
        <v>216</v>
      </c>
      <c r="C84" s="19"/>
      <c r="D84" s="2"/>
      <c r="E84" s="2"/>
      <c r="F84" s="2" t="s">
        <v>217</v>
      </c>
      <c r="G84" s="2"/>
      <c r="H84" s="2"/>
      <c r="I84" s="2"/>
      <c r="J84" s="2"/>
      <c r="K84" s="2"/>
      <c r="L84" s="2"/>
      <c r="M84" s="111"/>
      <c r="O84" s="2"/>
      <c r="P84" s="2"/>
      <c r="Q84" s="2"/>
      <c r="R84" s="3"/>
      <c r="S84" s="3"/>
      <c r="T84" s="46"/>
    </row>
    <row r="85" spans="1:20" ht="42.6">
      <c r="A85" s="473"/>
      <c r="B85" s="19" t="s">
        <v>218</v>
      </c>
      <c r="C85" s="19"/>
      <c r="D85" s="2"/>
      <c r="E85" s="2"/>
      <c r="F85" s="2" t="s">
        <v>219</v>
      </c>
      <c r="G85" s="2"/>
      <c r="H85" s="2"/>
      <c r="I85" s="2"/>
      <c r="J85" s="2"/>
      <c r="K85" s="2"/>
      <c r="L85" s="2"/>
      <c r="M85" s="111"/>
      <c r="O85" s="2"/>
      <c r="P85" s="2"/>
      <c r="Q85" s="2"/>
      <c r="R85" s="3"/>
      <c r="S85" s="3"/>
      <c r="T85" s="46"/>
    </row>
    <row r="86" spans="1:20">
      <c r="A86" s="473"/>
      <c r="B86" s="19" t="s">
        <v>220</v>
      </c>
      <c r="C86" s="19"/>
      <c r="D86" s="2"/>
      <c r="E86" s="2"/>
      <c r="F86" s="2"/>
      <c r="G86" s="2"/>
      <c r="H86" s="2"/>
      <c r="I86" s="2"/>
      <c r="J86" s="2"/>
      <c r="K86" s="2"/>
      <c r="L86" s="2"/>
      <c r="M86" s="111"/>
      <c r="O86" s="2"/>
      <c r="P86" s="2"/>
      <c r="Q86" s="2"/>
      <c r="R86" s="3"/>
      <c r="S86" s="3"/>
      <c r="T86" s="46"/>
    </row>
    <row r="87" spans="1:20">
      <c r="A87" s="474"/>
      <c r="B87" s="19" t="s">
        <v>221</v>
      </c>
      <c r="C87" s="19"/>
      <c r="D87" s="2"/>
      <c r="E87" s="2"/>
      <c r="F87" s="2"/>
      <c r="G87" s="2"/>
      <c r="H87" s="2"/>
      <c r="I87" s="2"/>
      <c r="J87" s="2"/>
      <c r="K87" s="2"/>
      <c r="L87" s="2"/>
      <c r="M87" s="111"/>
      <c r="O87" s="2"/>
      <c r="P87" s="2"/>
      <c r="Q87" s="2"/>
      <c r="R87" s="3"/>
      <c r="S87" s="3"/>
      <c r="T87" s="46"/>
    </row>
    <row r="88" spans="1:20">
      <c r="A88" s="35"/>
      <c r="B88" s="19"/>
      <c r="C88" s="19"/>
      <c r="D88" s="2"/>
      <c r="E88" s="2"/>
      <c r="F88" s="2"/>
      <c r="G88" s="2"/>
      <c r="H88" s="2"/>
      <c r="I88" s="2">
        <v>1</v>
      </c>
      <c r="J88" s="466">
        <f>SUM(I88:I90)</f>
        <v>2</v>
      </c>
      <c r="K88" s="2"/>
      <c r="L88" s="2"/>
      <c r="M88" s="111"/>
      <c r="O88" s="2"/>
      <c r="P88" s="2"/>
      <c r="Q88" s="2"/>
      <c r="R88" s="3"/>
      <c r="S88" s="3"/>
      <c r="T88" s="46"/>
    </row>
    <row r="89" spans="1:20" ht="98.45">
      <c r="A89" s="472" t="s">
        <v>21</v>
      </c>
      <c r="B89" s="19" t="s">
        <v>22</v>
      </c>
      <c r="C89" s="19" t="s">
        <v>23</v>
      </c>
      <c r="D89" s="2"/>
      <c r="E89" s="2"/>
      <c r="F89" s="2" t="s">
        <v>24</v>
      </c>
      <c r="G89" s="2"/>
      <c r="H89" s="2"/>
      <c r="I89" s="2">
        <v>1</v>
      </c>
      <c r="J89" s="467"/>
      <c r="K89" s="2"/>
      <c r="L89" s="2"/>
      <c r="M89" s="111"/>
      <c r="O89" s="2"/>
      <c r="P89" s="2"/>
      <c r="Q89" s="2"/>
      <c r="R89" s="3"/>
      <c r="S89" s="3"/>
      <c r="T89" s="46"/>
    </row>
    <row r="90" spans="1:20" ht="98.45">
      <c r="A90" s="474"/>
      <c r="B90" s="19" t="s">
        <v>26</v>
      </c>
      <c r="C90" s="19" t="s">
        <v>23</v>
      </c>
      <c r="D90" s="2"/>
      <c r="E90" s="2"/>
      <c r="F90" s="2" t="s">
        <v>24</v>
      </c>
      <c r="G90" s="2"/>
      <c r="H90" s="2"/>
      <c r="I90" s="2"/>
      <c r="J90" s="467"/>
      <c r="K90" s="2"/>
      <c r="L90" s="2"/>
      <c r="M90" s="111"/>
      <c r="O90" s="2"/>
      <c r="P90" s="2"/>
      <c r="Q90" s="2"/>
      <c r="R90" s="3"/>
      <c r="S90" s="3"/>
      <c r="T90" s="46"/>
    </row>
    <row r="91" spans="1:20">
      <c r="A91" s="35"/>
      <c r="B91" s="19" t="s">
        <v>354</v>
      </c>
      <c r="C91" s="19"/>
      <c r="D91" s="2"/>
      <c r="E91" s="2"/>
      <c r="F91" s="2"/>
      <c r="G91" s="2"/>
      <c r="H91" s="2"/>
      <c r="I91" s="2"/>
      <c r="J91" s="2"/>
      <c r="K91" s="2"/>
      <c r="L91" s="2"/>
      <c r="M91" s="111"/>
      <c r="O91" s="2"/>
      <c r="P91" s="2"/>
      <c r="Q91" s="2"/>
      <c r="R91" s="3"/>
      <c r="S91" s="3"/>
      <c r="T91" s="46"/>
    </row>
    <row r="92" spans="1:20" ht="32.1" customHeight="1" thickBot="1">
      <c r="A92" s="215" t="s">
        <v>346</v>
      </c>
      <c r="B92" s="20" t="s">
        <v>358</v>
      </c>
      <c r="C92" s="20" t="s">
        <v>348</v>
      </c>
      <c r="D92" s="1"/>
      <c r="E92" s="1"/>
      <c r="F92" s="1" t="s">
        <v>349</v>
      </c>
      <c r="G92" s="1"/>
      <c r="H92" s="1"/>
      <c r="I92" s="1"/>
      <c r="J92" s="1"/>
      <c r="K92" s="1"/>
      <c r="L92" s="1"/>
      <c r="M92" s="111"/>
      <c r="O92" s="1"/>
      <c r="P92" s="1"/>
      <c r="Q92" s="1"/>
      <c r="R92" s="3"/>
      <c r="S92" s="3"/>
      <c r="T92" s="46"/>
    </row>
    <row r="93" spans="1:20" ht="36.6" customHeight="1" thickBot="1">
      <c r="A93" s="259"/>
      <c r="B93" s="308" t="s">
        <v>350</v>
      </c>
      <c r="C93" s="78" t="s">
        <v>348</v>
      </c>
      <c r="D93" s="299"/>
      <c r="E93" s="299"/>
      <c r="F93" s="299" t="s">
        <v>351</v>
      </c>
      <c r="G93" s="299"/>
      <c r="H93" s="299"/>
      <c r="I93" s="299"/>
      <c r="J93" s="299"/>
      <c r="K93" s="299"/>
      <c r="L93" s="299"/>
      <c r="M93" s="288"/>
      <c r="N93" s="53"/>
      <c r="O93" s="299"/>
      <c r="P93" s="299"/>
      <c r="Q93" s="319"/>
      <c r="R93" s="15"/>
      <c r="S93" s="3"/>
      <c r="T93" s="46"/>
    </row>
    <row r="94" spans="1:20" ht="36.6" customHeight="1" thickBot="1">
      <c r="A94" s="259"/>
      <c r="B94" s="296"/>
      <c r="C94" s="134"/>
      <c r="D94" s="198"/>
      <c r="E94" s="198"/>
      <c r="F94" s="198"/>
      <c r="G94" s="198"/>
      <c r="H94" s="198"/>
      <c r="I94" s="198"/>
      <c r="J94" s="198"/>
      <c r="K94" s="198"/>
      <c r="L94" s="198"/>
      <c r="M94" s="198"/>
      <c r="N94" s="297"/>
      <c r="O94" s="198"/>
      <c r="P94" s="198"/>
      <c r="Q94" s="298"/>
      <c r="R94" s="15"/>
      <c r="S94" s="3"/>
      <c r="T94" s="46"/>
    </row>
    <row r="95" spans="1:20" ht="33.950000000000003" customHeight="1">
      <c r="A95" s="259"/>
      <c r="B95" s="491"/>
      <c r="C95" s="178"/>
      <c r="D95" s="222"/>
      <c r="E95" s="222"/>
      <c r="F95" s="222"/>
      <c r="G95" s="429"/>
      <c r="H95" s="222"/>
      <c r="I95" s="222"/>
      <c r="J95" s="222"/>
      <c r="K95" s="222"/>
      <c r="L95" s="222"/>
      <c r="M95" s="222"/>
      <c r="N95" s="315"/>
      <c r="O95" s="222"/>
      <c r="P95" s="222"/>
      <c r="Q95" s="316"/>
      <c r="R95" s="15"/>
      <c r="S95" s="3"/>
      <c r="T95" s="46"/>
    </row>
    <row r="96" spans="1:20" ht="49.5" customHeight="1" thickBot="1">
      <c r="A96" s="259"/>
      <c r="B96" s="492"/>
      <c r="C96" s="129" t="s">
        <v>371</v>
      </c>
      <c r="D96" s="210"/>
      <c r="E96" s="210"/>
      <c r="F96" s="210"/>
      <c r="G96" s="427"/>
      <c r="H96" s="210"/>
      <c r="I96" s="210"/>
      <c r="J96" s="210"/>
      <c r="K96" s="210"/>
      <c r="L96" s="210"/>
      <c r="M96" s="210"/>
      <c r="N96" s="263"/>
      <c r="O96" s="210"/>
      <c r="P96" s="210"/>
      <c r="Q96" s="264"/>
      <c r="R96" s="15"/>
      <c r="S96" s="3"/>
      <c r="T96" s="46"/>
    </row>
    <row r="97" spans="1:20">
      <c r="A97" s="212"/>
      <c r="B97" s="22" t="s">
        <v>352</v>
      </c>
      <c r="C97" s="22"/>
      <c r="D97" s="4"/>
      <c r="E97" s="4"/>
      <c r="F97" s="4"/>
      <c r="G97" s="4"/>
      <c r="H97" s="4"/>
      <c r="I97" s="4"/>
      <c r="J97" s="4"/>
      <c r="K97" s="4"/>
      <c r="L97" s="4"/>
      <c r="M97" s="111"/>
      <c r="O97" s="4"/>
      <c r="P97" s="4"/>
      <c r="Q97" s="4"/>
      <c r="R97" s="3"/>
      <c r="S97" s="3"/>
      <c r="T97" s="46"/>
    </row>
    <row r="98" spans="1:20">
      <c r="A98" s="35"/>
      <c r="B98" s="19"/>
      <c r="C98" s="19"/>
      <c r="D98" s="2"/>
      <c r="E98" s="2"/>
      <c r="F98" s="2"/>
      <c r="G98" s="2"/>
      <c r="H98" s="2"/>
      <c r="I98" s="2"/>
      <c r="J98" s="2"/>
      <c r="K98" s="2"/>
      <c r="L98" s="2"/>
      <c r="M98" s="111"/>
      <c r="O98" s="2"/>
      <c r="P98" s="2"/>
      <c r="Q98" s="2"/>
      <c r="R98" s="3"/>
      <c r="S98" s="3"/>
      <c r="T98" s="46"/>
    </row>
    <row r="99" spans="1:20" ht="42.6">
      <c r="A99" s="39" t="s">
        <v>394</v>
      </c>
      <c r="B99" s="19" t="s">
        <v>395</v>
      </c>
      <c r="C99" s="19" t="s">
        <v>43</v>
      </c>
      <c r="D99" s="2"/>
      <c r="E99" s="2"/>
      <c r="F99" s="2" t="s">
        <v>396</v>
      </c>
      <c r="G99" s="2"/>
      <c r="H99" s="2"/>
      <c r="I99" s="2"/>
      <c r="J99" s="2"/>
      <c r="K99" s="2"/>
      <c r="L99" s="2"/>
      <c r="M99" s="111"/>
      <c r="O99" s="2"/>
      <c r="P99" s="2"/>
      <c r="Q99" s="2"/>
      <c r="R99" s="3"/>
      <c r="S99" s="3"/>
      <c r="T99" s="46"/>
    </row>
    <row r="100" spans="1:20">
      <c r="A100" s="35"/>
      <c r="B100" s="19"/>
      <c r="C100" s="19"/>
      <c r="D100" s="2"/>
      <c r="E100" s="2"/>
      <c r="F100" s="2"/>
      <c r="G100" s="2"/>
      <c r="H100" s="2"/>
      <c r="I100" s="2"/>
      <c r="J100" s="2"/>
      <c r="K100" s="2"/>
      <c r="L100" s="2"/>
      <c r="M100" s="111"/>
      <c r="O100" s="2"/>
      <c r="P100" s="2"/>
      <c r="Q100" s="2"/>
      <c r="R100" s="3"/>
      <c r="S100" s="3"/>
      <c r="T100" s="46"/>
    </row>
    <row r="101" spans="1:20" ht="126.6">
      <c r="A101" s="215" t="s">
        <v>542</v>
      </c>
      <c r="B101" s="19" t="s">
        <v>355</v>
      </c>
      <c r="C101" s="19" t="s">
        <v>356</v>
      </c>
      <c r="D101" s="2"/>
      <c r="E101" s="2"/>
      <c r="F101" s="2" t="s">
        <v>357</v>
      </c>
      <c r="G101" s="2"/>
      <c r="H101" s="2"/>
      <c r="I101" s="2"/>
      <c r="J101" s="2"/>
      <c r="K101" s="2"/>
      <c r="L101" s="2"/>
      <c r="M101" s="111"/>
      <c r="O101" s="2"/>
      <c r="P101" s="2"/>
      <c r="Q101" s="2"/>
      <c r="R101" s="3"/>
      <c r="S101" s="3"/>
      <c r="T101" s="46"/>
    </row>
    <row r="102" spans="1:20">
      <c r="A102" s="212"/>
      <c r="B102" s="19" t="s">
        <v>543</v>
      </c>
      <c r="C102" s="19"/>
      <c r="D102" s="2"/>
      <c r="E102" s="2"/>
      <c r="F102" s="2"/>
      <c r="G102" s="2"/>
      <c r="H102" s="2"/>
      <c r="I102" s="2"/>
      <c r="J102" s="2"/>
      <c r="K102" s="2"/>
      <c r="L102" s="2"/>
      <c r="M102" s="111"/>
      <c r="O102" s="2"/>
      <c r="P102" s="2"/>
      <c r="Q102" s="2"/>
      <c r="R102" s="3"/>
      <c r="S102" s="3"/>
      <c r="T102" s="46"/>
    </row>
    <row r="103" spans="1:20" ht="15" thickBot="1">
      <c r="A103" s="35"/>
      <c r="B103" s="20"/>
      <c r="C103" s="20"/>
      <c r="D103" s="1"/>
      <c r="E103" s="1"/>
      <c r="F103" s="1"/>
      <c r="G103" s="1"/>
      <c r="H103" s="1"/>
      <c r="I103" s="1"/>
      <c r="J103" s="1"/>
      <c r="K103" s="1"/>
      <c r="L103" s="1"/>
      <c r="M103" s="111"/>
      <c r="O103" s="1"/>
      <c r="P103" s="1"/>
      <c r="Q103" s="1"/>
      <c r="R103" s="3"/>
      <c r="S103" s="3"/>
      <c r="T103" s="46"/>
    </row>
    <row r="104" spans="1:20" ht="33" customHeight="1" thickBot="1">
      <c r="A104" s="258"/>
      <c r="B104" s="249"/>
      <c r="C104" s="58"/>
      <c r="D104" s="247"/>
      <c r="E104" s="247"/>
      <c r="F104" s="247"/>
      <c r="G104" s="58"/>
      <c r="H104" s="247"/>
      <c r="I104" s="247"/>
      <c r="J104" s="247"/>
      <c r="K104" s="247"/>
      <c r="L104" s="247"/>
      <c r="M104" s="254"/>
      <c r="N104" s="251"/>
      <c r="O104" s="247"/>
      <c r="P104" s="247"/>
      <c r="Q104" s="255"/>
      <c r="R104" s="15"/>
      <c r="S104" s="3"/>
      <c r="T104" s="46"/>
    </row>
    <row r="105" spans="1:20" ht="15" thickBot="1">
      <c r="A105" s="39" t="s">
        <v>544</v>
      </c>
      <c r="B105" s="21" t="s">
        <v>359</v>
      </c>
      <c r="C105" s="21"/>
      <c r="D105" s="313"/>
      <c r="E105" s="313"/>
      <c r="F105" s="313"/>
      <c r="G105" s="313"/>
      <c r="H105" s="313"/>
      <c r="I105" s="313"/>
      <c r="J105" s="313"/>
      <c r="K105" s="313"/>
      <c r="L105" s="313"/>
      <c r="M105" s="111"/>
      <c r="O105" s="313"/>
      <c r="P105" s="313"/>
      <c r="Q105" s="313"/>
      <c r="R105" s="3"/>
      <c r="S105" s="3"/>
      <c r="T105" s="46"/>
    </row>
    <row r="106" spans="1:20" ht="15" thickBot="1">
      <c r="A106" s="330"/>
      <c r="B106" s="334"/>
      <c r="C106" s="134"/>
      <c r="D106" s="198"/>
      <c r="E106" s="198"/>
      <c r="F106" s="198"/>
      <c r="G106" s="198"/>
      <c r="H106" s="198"/>
      <c r="I106" s="198"/>
      <c r="J106" s="198"/>
      <c r="K106" s="198"/>
      <c r="L106" s="198"/>
      <c r="M106" s="198"/>
      <c r="N106" s="297"/>
      <c r="O106" s="198"/>
      <c r="P106" s="198"/>
      <c r="Q106" s="298"/>
      <c r="R106" s="15"/>
      <c r="S106" s="3"/>
      <c r="T106" s="46"/>
    </row>
    <row r="107" spans="1:20" ht="15" thickBot="1">
      <c r="A107" s="330"/>
      <c r="B107" s="334"/>
      <c r="C107" s="134"/>
      <c r="D107" s="198"/>
      <c r="E107" s="198"/>
      <c r="F107" s="198"/>
      <c r="G107" s="198"/>
      <c r="H107" s="198"/>
      <c r="I107" s="198"/>
      <c r="J107" s="198"/>
      <c r="K107" s="198"/>
      <c r="L107" s="198"/>
      <c r="M107" s="198"/>
      <c r="N107" s="297"/>
      <c r="O107" s="198"/>
      <c r="P107" s="198"/>
      <c r="Q107" s="298"/>
      <c r="R107" s="15"/>
      <c r="S107" s="3"/>
      <c r="T107" s="46"/>
    </row>
    <row r="108" spans="1:20" ht="15" thickBot="1">
      <c r="A108" s="330"/>
      <c r="B108" s="334"/>
      <c r="C108" s="134"/>
      <c r="D108" s="198"/>
      <c r="E108" s="198"/>
      <c r="F108" s="198"/>
      <c r="G108" s="198"/>
      <c r="H108" s="198"/>
      <c r="I108" s="198"/>
      <c r="J108" s="198"/>
      <c r="K108" s="198"/>
      <c r="L108" s="198"/>
      <c r="M108" s="198"/>
      <c r="N108" s="297"/>
      <c r="O108" s="198"/>
      <c r="P108" s="198"/>
      <c r="Q108" s="298"/>
      <c r="R108" s="15"/>
      <c r="S108" s="3"/>
      <c r="T108" s="46"/>
    </row>
    <row r="109" spans="1:20" ht="15" thickBot="1">
      <c r="A109" s="330"/>
      <c r="B109" s="334"/>
      <c r="C109" s="134"/>
      <c r="D109" s="198"/>
      <c r="E109" s="198"/>
      <c r="F109" s="198"/>
      <c r="G109" s="198"/>
      <c r="H109" s="198"/>
      <c r="I109" s="198"/>
      <c r="J109" s="198"/>
      <c r="K109" s="198"/>
      <c r="L109" s="198"/>
      <c r="M109" s="198"/>
      <c r="N109" s="297"/>
      <c r="O109" s="198"/>
      <c r="P109" s="198"/>
      <c r="Q109" s="298"/>
      <c r="R109" s="15"/>
      <c r="S109" s="3"/>
      <c r="T109" s="46"/>
    </row>
    <row r="110" spans="1:20" ht="15" thickBot="1">
      <c r="A110" s="330"/>
      <c r="B110" s="334"/>
      <c r="C110" s="134"/>
      <c r="D110" s="198"/>
      <c r="E110" s="198"/>
      <c r="F110" s="198"/>
      <c r="G110" s="198"/>
      <c r="H110" s="198"/>
      <c r="I110" s="198"/>
      <c r="J110" s="198"/>
      <c r="K110" s="198"/>
      <c r="L110" s="198"/>
      <c r="M110" s="198"/>
      <c r="N110" s="297"/>
      <c r="O110" s="198"/>
      <c r="P110" s="198"/>
      <c r="Q110" s="298"/>
      <c r="R110" s="15"/>
      <c r="S110" s="3"/>
      <c r="T110" s="46"/>
    </row>
    <row r="111" spans="1:20" ht="15" thickBot="1">
      <c r="A111" s="330"/>
      <c r="B111" s="334"/>
      <c r="C111" s="134"/>
      <c r="D111" s="198"/>
      <c r="E111" s="198"/>
      <c r="F111" s="198"/>
      <c r="G111" s="198"/>
      <c r="H111" s="198"/>
      <c r="I111" s="198"/>
      <c r="J111" s="198"/>
      <c r="K111" s="198"/>
      <c r="L111" s="198"/>
      <c r="M111" s="198"/>
      <c r="N111" s="297"/>
      <c r="O111" s="198"/>
      <c r="P111" s="198"/>
      <c r="Q111" s="298"/>
      <c r="R111" s="15"/>
      <c r="S111" s="3"/>
      <c r="T111" s="46"/>
    </row>
    <row r="112" spans="1:20">
      <c r="A112" s="35"/>
      <c r="B112" s="333"/>
      <c r="C112" s="22"/>
      <c r="D112" s="4"/>
      <c r="E112" s="4"/>
      <c r="F112" s="4"/>
      <c r="G112" s="4"/>
      <c r="H112" s="4"/>
      <c r="I112" s="4"/>
      <c r="J112" s="4"/>
      <c r="K112" s="4"/>
      <c r="L112" s="4"/>
      <c r="M112" s="111"/>
      <c r="O112" s="4"/>
      <c r="P112" s="4"/>
      <c r="Q112" s="4"/>
      <c r="R112" s="3"/>
      <c r="S112" s="3"/>
      <c r="T112" s="46"/>
    </row>
    <row r="113" spans="1:20" ht="42.6">
      <c r="A113" s="35"/>
      <c r="B113" s="38" t="s">
        <v>361</v>
      </c>
      <c r="C113" s="19"/>
      <c r="D113" s="2"/>
      <c r="E113" s="2"/>
      <c r="F113" s="2" t="s">
        <v>362</v>
      </c>
      <c r="G113" s="2"/>
      <c r="H113" s="2"/>
      <c r="I113" s="2"/>
      <c r="J113" s="2"/>
      <c r="K113" s="2"/>
      <c r="L113" s="2"/>
      <c r="M113" s="111"/>
      <c r="O113" s="2"/>
      <c r="P113" s="2"/>
      <c r="Q113" s="2"/>
      <c r="R113" s="3"/>
      <c r="S113" s="3"/>
      <c r="T113" s="46"/>
    </row>
    <row r="114" spans="1:20" ht="126.6">
      <c r="A114" s="39" t="s">
        <v>545</v>
      </c>
      <c r="B114" s="19" t="s">
        <v>308</v>
      </c>
      <c r="C114" s="19"/>
      <c r="D114" s="2"/>
      <c r="E114" s="2"/>
      <c r="F114" s="2" t="s">
        <v>309</v>
      </c>
      <c r="G114" s="2"/>
      <c r="H114" s="2"/>
      <c r="I114" s="2"/>
      <c r="J114" s="2"/>
      <c r="K114" s="2"/>
      <c r="L114" s="2"/>
      <c r="M114" s="111"/>
      <c r="O114" s="2"/>
      <c r="P114" s="2"/>
      <c r="Q114" s="2"/>
      <c r="R114" s="3"/>
      <c r="S114" s="3"/>
      <c r="T114" s="46"/>
    </row>
    <row r="115" spans="1:20">
      <c r="A115" s="35"/>
      <c r="B115" s="19" t="s">
        <v>311</v>
      </c>
      <c r="C115" s="19"/>
      <c r="D115" s="2"/>
      <c r="E115" s="2"/>
      <c r="F115" s="2"/>
      <c r="G115" s="2"/>
      <c r="H115" s="2"/>
      <c r="I115" s="2"/>
      <c r="J115" s="2"/>
      <c r="K115" s="2"/>
      <c r="L115" s="2"/>
      <c r="M115" s="111"/>
      <c r="O115" s="2"/>
      <c r="P115" s="2"/>
      <c r="Q115" s="2"/>
      <c r="R115" s="3"/>
      <c r="S115" s="3"/>
      <c r="T115" s="46"/>
    </row>
    <row r="116" spans="1:20">
      <c r="A116" s="35"/>
      <c r="B116" s="19"/>
      <c r="C116" s="19"/>
      <c r="D116" s="2"/>
      <c r="E116" s="2"/>
      <c r="F116" s="2"/>
      <c r="G116" s="2"/>
      <c r="H116" s="2"/>
      <c r="I116" s="2"/>
      <c r="J116" s="2"/>
      <c r="K116" s="2"/>
      <c r="L116" s="2"/>
      <c r="M116" s="111"/>
      <c r="O116" s="2"/>
      <c r="P116" s="2"/>
      <c r="Q116" s="2"/>
      <c r="R116" s="3"/>
      <c r="S116" s="3"/>
      <c r="T116" s="46"/>
    </row>
    <row r="117" spans="1:20" ht="56.45">
      <c r="A117" s="39" t="s">
        <v>117</v>
      </c>
      <c r="B117" s="19" t="s">
        <v>118</v>
      </c>
      <c r="C117" s="19" t="s">
        <v>546</v>
      </c>
      <c r="D117" s="2"/>
      <c r="E117" s="2"/>
      <c r="F117" s="2" t="s">
        <v>120</v>
      </c>
      <c r="G117" s="2"/>
      <c r="H117" s="2"/>
      <c r="I117" s="2"/>
      <c r="J117" s="2"/>
      <c r="K117" s="2"/>
      <c r="L117" s="2"/>
      <c r="M117" s="111"/>
      <c r="O117" s="2"/>
      <c r="P117" s="2"/>
      <c r="Q117" s="2"/>
      <c r="R117" s="3"/>
      <c r="S117" s="3"/>
      <c r="T117" s="46"/>
    </row>
    <row r="118" spans="1:20" ht="33.75" customHeight="1">
      <c r="A118" s="39" t="s">
        <v>151</v>
      </c>
      <c r="B118" s="19" t="s">
        <v>152</v>
      </c>
      <c r="C118" s="19" t="s">
        <v>153</v>
      </c>
      <c r="D118" s="2"/>
      <c r="E118" s="2"/>
      <c r="F118" s="2" t="s">
        <v>155</v>
      </c>
      <c r="G118" s="2"/>
      <c r="H118" s="2"/>
      <c r="I118" s="2"/>
      <c r="J118" s="2"/>
      <c r="K118" s="2"/>
      <c r="L118" s="2"/>
      <c r="M118" s="111"/>
      <c r="O118" s="2"/>
      <c r="P118" s="2"/>
      <c r="Q118" s="2"/>
      <c r="R118" s="3"/>
      <c r="S118" s="3"/>
      <c r="T118" s="46"/>
    </row>
    <row r="119" spans="1:20" ht="28.5">
      <c r="A119" s="39" t="s">
        <v>390</v>
      </c>
      <c r="B119" s="19" t="s">
        <v>391</v>
      </c>
      <c r="C119" s="19" t="s">
        <v>392</v>
      </c>
      <c r="D119" s="2"/>
      <c r="E119" s="2"/>
      <c r="F119" s="2" t="s">
        <v>393</v>
      </c>
      <c r="G119" s="2"/>
      <c r="H119" s="2"/>
      <c r="I119" s="2"/>
      <c r="J119" s="2"/>
      <c r="K119" s="2"/>
      <c r="L119" s="2"/>
      <c r="M119" s="111"/>
      <c r="O119" s="2"/>
      <c r="P119" s="2"/>
      <c r="Q119" s="2"/>
      <c r="R119" s="3"/>
      <c r="S119" s="3"/>
      <c r="T119" s="46"/>
    </row>
    <row r="120" spans="1:20">
      <c r="A120" s="35"/>
      <c r="B120" s="19"/>
      <c r="C120" s="19"/>
      <c r="D120" s="2"/>
      <c r="E120" s="2"/>
      <c r="F120" s="2"/>
      <c r="G120" s="2"/>
      <c r="H120" s="2"/>
      <c r="I120" s="2"/>
      <c r="J120" s="2"/>
      <c r="K120" s="2"/>
      <c r="L120" s="2"/>
      <c r="M120" s="111"/>
      <c r="O120" s="2"/>
      <c r="P120" s="2"/>
      <c r="Q120" s="2"/>
      <c r="R120" s="3"/>
      <c r="S120" s="3"/>
      <c r="T120" s="46"/>
    </row>
    <row r="121" spans="1:20" s="23" customFormat="1">
      <c r="A121" s="35"/>
      <c r="B121" s="75" t="s">
        <v>371</v>
      </c>
      <c r="C121" s="19"/>
      <c r="D121" s="2"/>
      <c r="E121" s="2"/>
      <c r="F121" s="2"/>
      <c r="G121" s="2"/>
      <c r="H121" s="2"/>
      <c r="I121" s="2"/>
      <c r="J121" s="2"/>
      <c r="K121" s="2"/>
      <c r="L121" s="2"/>
      <c r="M121" s="111"/>
      <c r="O121" s="2"/>
      <c r="P121" s="2"/>
      <c r="Q121" s="2"/>
      <c r="R121" s="3"/>
      <c r="S121" s="3"/>
      <c r="T121" s="46"/>
    </row>
    <row r="122" spans="1:20" ht="98.45">
      <c r="A122" s="346" t="s">
        <v>365</v>
      </c>
      <c r="B122" s="19" t="s">
        <v>547</v>
      </c>
      <c r="C122" s="19"/>
      <c r="D122" s="2"/>
      <c r="E122" s="2"/>
      <c r="F122" s="2" t="s">
        <v>368</v>
      </c>
      <c r="G122" s="2"/>
      <c r="H122" s="2"/>
      <c r="I122" s="2"/>
      <c r="J122" s="2"/>
      <c r="K122" s="2"/>
      <c r="L122" s="2"/>
      <c r="M122" s="111"/>
      <c r="O122" s="2"/>
      <c r="P122" s="2"/>
      <c r="Q122" s="2"/>
      <c r="R122" s="3"/>
      <c r="S122" s="3"/>
      <c r="T122" s="46"/>
    </row>
    <row r="123" spans="1:20" ht="266.10000000000002">
      <c r="A123" s="39" t="s">
        <v>28</v>
      </c>
      <c r="B123" s="19" t="s">
        <v>29</v>
      </c>
      <c r="C123" s="19" t="s">
        <v>30</v>
      </c>
      <c r="D123" s="2"/>
      <c r="E123" s="2"/>
      <c r="F123" s="19" t="s">
        <v>33</v>
      </c>
      <c r="G123" s="2"/>
      <c r="H123" s="2"/>
      <c r="I123" s="2"/>
      <c r="J123" s="2"/>
      <c r="K123" s="2"/>
      <c r="L123" s="2"/>
      <c r="M123" s="111"/>
      <c r="O123" s="2"/>
      <c r="P123" s="2"/>
      <c r="Q123" s="2"/>
      <c r="R123" s="3"/>
      <c r="S123" s="3"/>
      <c r="T123" s="46"/>
    </row>
    <row r="124" spans="1:20">
      <c r="A124" s="39"/>
      <c r="B124" s="19"/>
      <c r="C124" s="19"/>
      <c r="D124" s="2"/>
      <c r="E124" s="2"/>
      <c r="F124" s="2"/>
      <c r="G124" s="2"/>
      <c r="H124" s="2"/>
      <c r="I124" s="2"/>
      <c r="J124" s="2"/>
      <c r="K124" s="2"/>
      <c r="L124" s="2"/>
      <c r="M124" s="111"/>
      <c r="O124" s="2"/>
      <c r="P124" s="2"/>
      <c r="Q124" s="2"/>
      <c r="R124" s="3"/>
      <c r="S124" s="3"/>
      <c r="T124" s="46"/>
    </row>
    <row r="125" spans="1:20">
      <c r="A125" s="35"/>
      <c r="B125" s="19" t="s">
        <v>298</v>
      </c>
      <c r="C125" s="19"/>
      <c r="D125" s="2"/>
      <c r="E125" s="2"/>
      <c r="F125" s="2"/>
      <c r="G125" s="2"/>
      <c r="H125" s="2"/>
      <c r="I125" s="2"/>
      <c r="J125" s="2"/>
      <c r="K125" s="2"/>
      <c r="L125" s="2"/>
      <c r="M125" s="111"/>
      <c r="O125" s="2"/>
      <c r="P125" s="2"/>
      <c r="Q125" s="2"/>
      <c r="R125" s="3"/>
      <c r="S125" s="3"/>
      <c r="T125" s="46"/>
    </row>
    <row r="126" spans="1:20">
      <c r="A126" s="37"/>
      <c r="B126" s="24"/>
      <c r="C126" s="24"/>
      <c r="D126" s="14"/>
      <c r="E126" s="14"/>
      <c r="F126" s="14"/>
      <c r="G126" s="14"/>
      <c r="H126" s="14"/>
      <c r="I126" s="14"/>
      <c r="J126" s="14"/>
      <c r="K126" s="14"/>
      <c r="L126" s="14"/>
      <c r="M126" s="112"/>
      <c r="O126" s="14"/>
      <c r="P126" s="14"/>
      <c r="Q126" s="14"/>
      <c r="R126" s="13"/>
      <c r="S126" s="13"/>
      <c r="T126" s="48"/>
    </row>
    <row r="127" spans="1:20">
      <c r="A127" s="35" t="s">
        <v>139</v>
      </c>
      <c r="B127" s="19" t="s">
        <v>548</v>
      </c>
      <c r="C127" s="19" t="s">
        <v>549</v>
      </c>
      <c r="D127" s="2"/>
      <c r="E127" s="2"/>
      <c r="F127" s="2"/>
      <c r="G127" s="2"/>
      <c r="H127" s="2"/>
      <c r="I127" s="2"/>
      <c r="J127" s="2"/>
      <c r="K127" s="2"/>
      <c r="L127" s="2"/>
      <c r="M127" s="111"/>
      <c r="O127" s="2"/>
      <c r="P127" s="2"/>
      <c r="Q127" s="2"/>
      <c r="R127" s="3"/>
      <c r="S127" s="3"/>
      <c r="T127" s="46"/>
    </row>
    <row r="128" spans="1:20">
      <c r="A128" s="35"/>
      <c r="B128" s="19"/>
      <c r="C128" s="19"/>
      <c r="D128" s="2"/>
      <c r="E128" s="2"/>
      <c r="F128" s="2"/>
      <c r="G128" s="2"/>
      <c r="H128" s="2"/>
      <c r="I128" s="2"/>
      <c r="J128" s="2"/>
      <c r="K128" s="2"/>
      <c r="L128" s="2"/>
      <c r="M128" s="111"/>
      <c r="O128" s="2"/>
      <c r="P128" s="2"/>
      <c r="Q128" s="2"/>
      <c r="R128" s="3"/>
      <c r="S128" s="3"/>
      <c r="T128" s="46"/>
    </row>
    <row r="129" spans="1:20">
      <c r="A129" s="39" t="s">
        <v>363</v>
      </c>
      <c r="B129" s="19" t="s">
        <v>364</v>
      </c>
      <c r="C129" s="19"/>
      <c r="D129" s="2"/>
      <c r="E129" s="2"/>
      <c r="F129" s="2"/>
      <c r="G129" s="2"/>
      <c r="H129" s="2"/>
      <c r="I129" s="2"/>
      <c r="J129" s="2"/>
      <c r="K129" s="2"/>
      <c r="L129" s="2"/>
      <c r="M129" s="111"/>
      <c r="O129" s="2"/>
      <c r="P129" s="2"/>
      <c r="Q129" s="2"/>
      <c r="R129" s="3"/>
      <c r="S129" s="3"/>
      <c r="T129" s="46"/>
    </row>
    <row r="130" spans="1:20">
      <c r="A130" s="35"/>
      <c r="B130" s="19"/>
      <c r="C130" s="19"/>
      <c r="D130" s="2"/>
      <c r="E130" s="2"/>
      <c r="F130" s="2"/>
      <c r="G130" s="2"/>
      <c r="H130" s="2"/>
      <c r="I130" s="2"/>
      <c r="J130" s="2"/>
      <c r="K130" s="2"/>
      <c r="L130" s="2"/>
      <c r="M130" s="111"/>
      <c r="O130" s="2"/>
      <c r="P130" s="2"/>
      <c r="Q130" s="2"/>
      <c r="R130" s="3"/>
      <c r="S130" s="3"/>
      <c r="T130" s="46"/>
    </row>
    <row r="131" spans="1:20">
      <c r="A131" s="472" t="s">
        <v>550</v>
      </c>
      <c r="B131" s="19" t="s">
        <v>551</v>
      </c>
      <c r="C131" s="19"/>
      <c r="D131" s="2"/>
      <c r="E131" s="2"/>
      <c r="F131" s="2"/>
      <c r="G131" s="2"/>
      <c r="H131" s="2"/>
      <c r="I131" s="2"/>
      <c r="J131" s="2"/>
      <c r="K131" s="2"/>
      <c r="L131" s="2"/>
      <c r="M131" s="111"/>
      <c r="O131" s="2"/>
      <c r="P131" s="2"/>
      <c r="Q131" s="2"/>
      <c r="R131" s="3"/>
      <c r="S131" s="3"/>
      <c r="T131" s="46"/>
    </row>
    <row r="132" spans="1:20">
      <c r="A132" s="473"/>
      <c r="B132" s="19" t="s">
        <v>552</v>
      </c>
      <c r="C132" s="19"/>
      <c r="D132" s="2"/>
      <c r="E132" s="2"/>
      <c r="F132" s="2"/>
      <c r="G132" s="2"/>
      <c r="H132" s="2"/>
      <c r="I132" s="2"/>
      <c r="J132" s="2"/>
      <c r="K132" s="2"/>
      <c r="L132" s="2"/>
      <c r="M132" s="111"/>
      <c r="O132" s="2"/>
      <c r="P132" s="2"/>
      <c r="Q132" s="2"/>
      <c r="R132" s="3"/>
      <c r="S132" s="3"/>
      <c r="T132" s="46"/>
    </row>
    <row r="133" spans="1:20">
      <c r="A133" s="474"/>
      <c r="B133" s="19" t="s">
        <v>137</v>
      </c>
      <c r="C133" s="19"/>
      <c r="D133" s="2"/>
      <c r="E133" s="2"/>
      <c r="F133" s="2"/>
      <c r="G133" s="2"/>
      <c r="H133" s="2"/>
      <c r="I133" s="2"/>
      <c r="J133" s="2"/>
      <c r="K133" s="2"/>
      <c r="L133" s="2"/>
      <c r="M133" s="111"/>
      <c r="O133" s="2"/>
      <c r="P133" s="2"/>
      <c r="Q133" s="2"/>
      <c r="R133" s="3"/>
      <c r="S133" s="3"/>
      <c r="T133" s="46"/>
    </row>
    <row r="134" spans="1:20">
      <c r="A134" s="35"/>
      <c r="B134" s="19"/>
      <c r="C134" s="19"/>
      <c r="D134" s="2"/>
      <c r="E134" s="2"/>
      <c r="F134" s="2"/>
      <c r="G134" s="2"/>
      <c r="H134" s="2"/>
      <c r="I134" s="2"/>
      <c r="J134" s="2"/>
      <c r="K134" s="2"/>
      <c r="L134" s="2"/>
      <c r="M134" s="111"/>
      <c r="O134" s="2"/>
      <c r="P134" s="2"/>
      <c r="Q134" s="2"/>
      <c r="R134" s="3"/>
      <c r="S134" s="3"/>
      <c r="T134" s="46"/>
    </row>
    <row r="135" spans="1:20" ht="56.45">
      <c r="A135" s="39" t="s">
        <v>553</v>
      </c>
      <c r="B135" s="19" t="s">
        <v>554</v>
      </c>
      <c r="C135" s="19" t="s">
        <v>69</v>
      </c>
      <c r="D135" s="2" t="s">
        <v>555</v>
      </c>
      <c r="E135" s="2"/>
      <c r="F135" s="2" t="s">
        <v>556</v>
      </c>
      <c r="G135" s="2"/>
      <c r="H135" s="2"/>
      <c r="I135" s="2"/>
      <c r="J135" s="2"/>
      <c r="K135" s="2"/>
      <c r="L135" s="2"/>
      <c r="M135" s="111"/>
      <c r="O135" s="2" t="s">
        <v>557</v>
      </c>
      <c r="P135" s="2" t="s">
        <v>558</v>
      </c>
      <c r="Q135" s="2">
        <v>2</v>
      </c>
      <c r="R135" s="3" t="s">
        <v>559</v>
      </c>
      <c r="S135" s="3" t="s">
        <v>560</v>
      </c>
      <c r="T135" s="46"/>
    </row>
    <row r="136" spans="1:20">
      <c r="A136" s="35"/>
      <c r="B136" s="19" t="s">
        <v>561</v>
      </c>
      <c r="C136" s="19"/>
      <c r="D136" s="2"/>
      <c r="E136" s="2"/>
      <c r="F136" s="2"/>
      <c r="G136" s="2"/>
      <c r="H136" s="2"/>
      <c r="I136" s="2"/>
      <c r="J136" s="2"/>
      <c r="K136" s="2"/>
      <c r="L136" s="2"/>
      <c r="M136" s="2"/>
      <c r="N136" s="2"/>
      <c r="O136" s="2"/>
      <c r="P136" s="2"/>
      <c r="Q136" s="2"/>
      <c r="R136" s="3"/>
      <c r="S136" s="3"/>
      <c r="T136" s="46"/>
    </row>
    <row r="137" spans="1:20">
      <c r="A137" s="35"/>
      <c r="B137" s="19"/>
      <c r="C137" s="19"/>
      <c r="D137" s="2"/>
      <c r="E137" s="2"/>
      <c r="F137" s="2"/>
      <c r="G137" s="2"/>
      <c r="H137" s="2"/>
      <c r="I137" s="2"/>
      <c r="J137" s="2"/>
      <c r="K137" s="2"/>
      <c r="L137" s="2"/>
      <c r="M137" s="2"/>
      <c r="N137" s="2"/>
      <c r="O137" s="2"/>
      <c r="P137" s="2"/>
      <c r="Q137" s="2"/>
      <c r="R137" s="3"/>
      <c r="S137" s="3"/>
      <c r="T137" s="46"/>
    </row>
    <row r="138" spans="1:20">
      <c r="A138" s="38"/>
      <c r="B138" s="19" t="s">
        <v>562</v>
      </c>
      <c r="C138" s="19"/>
      <c r="D138" s="2"/>
      <c r="E138" s="2"/>
      <c r="F138" s="2"/>
      <c r="G138" s="2"/>
      <c r="H138" s="2"/>
      <c r="I138" s="2"/>
      <c r="J138" s="2"/>
      <c r="K138" s="2"/>
      <c r="L138" s="2"/>
      <c r="M138" s="2"/>
      <c r="N138" s="2"/>
      <c r="O138" s="2"/>
      <c r="P138" s="2"/>
      <c r="Q138" s="2"/>
      <c r="R138" s="3"/>
      <c r="S138" s="3"/>
      <c r="T138" s="46"/>
    </row>
    <row r="139" spans="1:20">
      <c r="A139" s="35"/>
      <c r="B139" s="19"/>
      <c r="C139" s="19"/>
      <c r="D139" s="2"/>
      <c r="E139" s="2"/>
      <c r="F139" s="2"/>
      <c r="G139" s="2"/>
      <c r="H139" s="2"/>
      <c r="I139" s="2"/>
      <c r="J139" s="2"/>
      <c r="K139" s="2"/>
      <c r="L139" s="2"/>
      <c r="M139" s="2"/>
      <c r="N139" s="2"/>
      <c r="O139" s="2"/>
      <c r="P139" s="2"/>
      <c r="Q139" s="2"/>
      <c r="R139" s="3"/>
      <c r="S139" s="3"/>
      <c r="T139" s="46"/>
    </row>
    <row r="140" spans="1:20" ht="42.6">
      <c r="A140" s="39" t="s">
        <v>287</v>
      </c>
      <c r="B140" s="19" t="s">
        <v>563</v>
      </c>
      <c r="C140" s="19"/>
      <c r="D140" s="2"/>
      <c r="E140" s="2"/>
      <c r="F140" s="2"/>
      <c r="G140" s="2"/>
      <c r="H140" s="2"/>
      <c r="I140" s="2"/>
      <c r="J140" s="2"/>
      <c r="K140" s="2"/>
      <c r="L140" s="2"/>
      <c r="M140" s="2"/>
      <c r="N140" s="2"/>
      <c r="O140" s="2"/>
      <c r="P140" s="2"/>
      <c r="Q140" s="2"/>
      <c r="R140" s="3" t="s">
        <v>564</v>
      </c>
      <c r="S140" s="3" t="s">
        <v>565</v>
      </c>
      <c r="T140" s="46"/>
    </row>
    <row r="141" spans="1:20" ht="126.6">
      <c r="A141" s="35"/>
      <c r="B141" s="19" t="s">
        <v>291</v>
      </c>
      <c r="C141" s="19"/>
      <c r="D141" s="2"/>
      <c r="E141" s="2"/>
      <c r="F141" s="2"/>
      <c r="G141" s="2"/>
      <c r="H141" s="2"/>
      <c r="I141" s="2"/>
      <c r="J141" s="2"/>
      <c r="K141" s="2"/>
      <c r="L141" s="2"/>
      <c r="M141" s="2"/>
      <c r="N141" s="2"/>
      <c r="O141" s="2"/>
      <c r="P141" s="2"/>
      <c r="Q141" s="2"/>
      <c r="R141" s="3" t="s">
        <v>566</v>
      </c>
      <c r="S141" s="3"/>
      <c r="T141" s="46"/>
    </row>
    <row r="142" spans="1:20">
      <c r="A142" s="35"/>
      <c r="B142" s="19"/>
      <c r="C142" s="19"/>
      <c r="D142" s="2"/>
      <c r="E142" s="2"/>
      <c r="F142" s="2"/>
      <c r="G142" s="2"/>
      <c r="H142" s="2"/>
      <c r="I142" s="2"/>
      <c r="J142" s="2"/>
      <c r="K142" s="2"/>
      <c r="L142" s="2"/>
      <c r="M142" s="2"/>
      <c r="N142" s="2"/>
      <c r="O142" s="2"/>
      <c r="P142" s="2"/>
      <c r="Q142" s="2"/>
      <c r="R142" s="3"/>
      <c r="S142" s="3"/>
      <c r="T142" s="46"/>
    </row>
    <row r="143" spans="1:20" ht="27.95">
      <c r="A143" s="39" t="s">
        <v>399</v>
      </c>
      <c r="B143" s="19" t="s">
        <v>400</v>
      </c>
      <c r="C143" s="19"/>
      <c r="D143" s="2"/>
      <c r="E143" s="2"/>
      <c r="F143" s="2"/>
      <c r="G143" s="2"/>
      <c r="H143" s="2"/>
      <c r="I143" s="2"/>
      <c r="J143" s="2"/>
      <c r="K143" s="2"/>
      <c r="L143" s="2"/>
      <c r="M143" s="2"/>
      <c r="N143" s="2"/>
      <c r="O143" s="2"/>
      <c r="P143" s="2"/>
      <c r="Q143" s="2"/>
      <c r="R143" s="3"/>
      <c r="S143" s="3"/>
      <c r="T143" s="46"/>
    </row>
    <row r="144" spans="1:20">
      <c r="A144" s="39"/>
      <c r="B144" s="19"/>
      <c r="C144" s="19"/>
      <c r="D144" s="2"/>
      <c r="E144" s="2"/>
      <c r="F144" s="2"/>
      <c r="G144" s="2"/>
      <c r="H144" s="2"/>
      <c r="I144" s="2"/>
      <c r="J144" s="2"/>
      <c r="K144" s="2"/>
      <c r="L144" s="2"/>
      <c r="M144" s="2"/>
      <c r="N144" s="2"/>
      <c r="O144" s="2"/>
      <c r="P144" s="2"/>
      <c r="Q144" s="2"/>
      <c r="R144" s="3"/>
      <c r="S144" s="3"/>
      <c r="T144" s="46"/>
    </row>
    <row r="145" spans="1:20">
      <c r="A145" s="39" t="s">
        <v>402</v>
      </c>
      <c r="B145" s="19" t="s">
        <v>567</v>
      </c>
      <c r="C145" s="19"/>
      <c r="D145" s="2"/>
      <c r="E145" s="2"/>
      <c r="F145" s="2"/>
      <c r="G145" s="2"/>
      <c r="H145" s="2"/>
      <c r="I145" s="2"/>
      <c r="J145" s="2"/>
      <c r="K145" s="2"/>
      <c r="L145" s="2"/>
      <c r="M145" s="2"/>
      <c r="N145" s="2"/>
      <c r="O145" s="2"/>
      <c r="P145" s="2"/>
      <c r="Q145" s="2"/>
      <c r="R145" s="3"/>
      <c r="S145" s="3"/>
      <c r="T145" s="46"/>
    </row>
    <row r="146" spans="1:20">
      <c r="A146" s="35"/>
      <c r="B146" s="19"/>
      <c r="C146" s="19"/>
      <c r="D146" s="2"/>
      <c r="E146" s="2"/>
      <c r="F146" s="2"/>
      <c r="G146" s="2"/>
      <c r="H146" s="2"/>
      <c r="I146" s="2"/>
      <c r="J146" s="2"/>
      <c r="K146" s="2"/>
      <c r="L146" s="2"/>
      <c r="M146" s="2"/>
      <c r="N146" s="2"/>
      <c r="O146" s="2"/>
      <c r="P146" s="2"/>
      <c r="Q146" s="2"/>
      <c r="R146" s="3"/>
      <c r="S146" s="3"/>
      <c r="T146" s="46"/>
    </row>
    <row r="147" spans="1:20" ht="42">
      <c r="A147" s="39" t="s">
        <v>406</v>
      </c>
      <c r="B147" s="19" t="s">
        <v>568</v>
      </c>
      <c r="C147" s="19"/>
      <c r="D147" s="2"/>
      <c r="E147" s="2"/>
      <c r="F147" s="2"/>
      <c r="G147" s="2"/>
      <c r="H147" s="2"/>
      <c r="I147" s="2"/>
      <c r="J147" s="2"/>
      <c r="K147" s="2"/>
      <c r="L147" s="2"/>
      <c r="M147" s="2"/>
      <c r="N147" s="2"/>
      <c r="O147" s="2"/>
      <c r="P147" s="2"/>
      <c r="Q147" s="2"/>
      <c r="R147" s="3"/>
      <c r="S147" s="3"/>
      <c r="T147" s="46"/>
    </row>
    <row r="148" spans="1:20">
      <c r="A148" s="35"/>
      <c r="B148" s="19"/>
      <c r="C148" s="19"/>
      <c r="D148" s="2"/>
      <c r="E148" s="2"/>
      <c r="F148" s="2"/>
      <c r="G148" s="2"/>
      <c r="H148" s="2"/>
      <c r="I148" s="2"/>
      <c r="J148" s="2"/>
      <c r="K148" s="2"/>
      <c r="L148" s="2"/>
      <c r="M148" s="2"/>
      <c r="N148" s="2"/>
      <c r="O148" s="2"/>
      <c r="P148" s="2"/>
      <c r="Q148" s="2"/>
      <c r="R148" s="3"/>
      <c r="S148" s="3"/>
      <c r="T148" s="46"/>
    </row>
    <row r="149" spans="1:20" ht="27.95">
      <c r="A149" s="39" t="s">
        <v>409</v>
      </c>
      <c r="B149" s="19" t="s">
        <v>569</v>
      </c>
      <c r="C149" s="19"/>
      <c r="D149" s="2"/>
      <c r="E149" s="2"/>
      <c r="F149" s="2"/>
      <c r="G149" s="2"/>
      <c r="H149" s="2"/>
      <c r="I149" s="2"/>
      <c r="J149" s="2"/>
      <c r="K149" s="2"/>
      <c r="L149" s="2"/>
      <c r="M149" s="2"/>
      <c r="N149" s="2"/>
      <c r="O149" s="2"/>
      <c r="P149" s="2"/>
      <c r="Q149" s="2"/>
      <c r="R149" s="3"/>
      <c r="S149" s="3"/>
      <c r="T149" s="46"/>
    </row>
    <row r="150" spans="1:20">
      <c r="A150" s="35"/>
      <c r="B150" s="19"/>
      <c r="C150" s="19"/>
      <c r="D150" s="2"/>
      <c r="E150" s="2"/>
      <c r="F150" s="2"/>
      <c r="G150" s="2"/>
      <c r="H150" s="2"/>
      <c r="I150" s="2"/>
      <c r="J150" s="2"/>
      <c r="K150" s="2"/>
      <c r="L150" s="2"/>
      <c r="M150" s="2"/>
      <c r="N150" s="2"/>
      <c r="O150" s="2"/>
      <c r="P150" s="2"/>
      <c r="Q150" s="2"/>
      <c r="R150" s="3"/>
      <c r="S150" s="3"/>
      <c r="T150" s="46"/>
    </row>
    <row r="151" spans="1:20">
      <c r="A151" s="39" t="s">
        <v>222</v>
      </c>
      <c r="B151" s="19" t="s">
        <v>229</v>
      </c>
      <c r="C151" s="19"/>
      <c r="D151" s="2"/>
      <c r="E151" s="2"/>
      <c r="F151" s="2"/>
      <c r="G151" s="2"/>
      <c r="H151" s="2"/>
      <c r="I151" s="2"/>
      <c r="J151" s="2"/>
      <c r="K151" s="2"/>
      <c r="L151" s="2"/>
      <c r="M151" s="2"/>
      <c r="N151" s="2"/>
      <c r="O151" s="2"/>
      <c r="P151" s="2"/>
      <c r="Q151" s="2"/>
      <c r="R151" s="3"/>
      <c r="S151" s="3"/>
      <c r="T151" s="46"/>
    </row>
    <row r="152" spans="1:20">
      <c r="A152" s="35"/>
      <c r="B152" s="19"/>
      <c r="C152" s="19"/>
      <c r="D152" s="2"/>
      <c r="E152" s="2"/>
      <c r="F152" s="2"/>
      <c r="G152" s="2"/>
      <c r="H152" s="2"/>
      <c r="I152" s="2"/>
      <c r="J152" s="2"/>
      <c r="K152" s="2"/>
      <c r="L152" s="2"/>
      <c r="M152" s="2"/>
      <c r="N152" s="2"/>
      <c r="O152" s="2"/>
      <c r="P152" s="2"/>
      <c r="Q152" s="2"/>
      <c r="R152" s="3"/>
      <c r="S152" s="3"/>
      <c r="T152" s="46"/>
    </row>
    <row r="153" spans="1:20" ht="27.95">
      <c r="A153" s="39" t="s">
        <v>472</v>
      </c>
      <c r="B153" s="19" t="s">
        <v>570</v>
      </c>
      <c r="C153" s="19"/>
      <c r="D153" s="2"/>
      <c r="E153" s="2"/>
      <c r="F153" s="2"/>
      <c r="G153" s="2"/>
      <c r="H153" s="2"/>
      <c r="I153" s="2"/>
      <c r="J153" s="2"/>
      <c r="K153" s="2"/>
      <c r="L153" s="2"/>
      <c r="M153" s="2"/>
      <c r="N153" s="2"/>
      <c r="O153" s="2"/>
      <c r="P153" s="2"/>
      <c r="Q153" s="2"/>
      <c r="R153" s="3"/>
      <c r="S153" s="3"/>
      <c r="T153" s="46"/>
    </row>
    <row r="154" spans="1:20">
      <c r="A154" s="40"/>
      <c r="B154" s="76" t="s">
        <v>571</v>
      </c>
      <c r="C154" s="76"/>
      <c r="D154" s="14"/>
      <c r="E154" s="14"/>
      <c r="F154" s="14"/>
      <c r="G154" s="14"/>
      <c r="H154" s="14"/>
      <c r="I154" s="14"/>
      <c r="J154" s="14"/>
      <c r="K154" s="14"/>
      <c r="L154" s="14"/>
      <c r="M154" s="14"/>
      <c r="N154" s="14"/>
      <c r="O154" s="14"/>
      <c r="P154" s="14" t="s">
        <v>572</v>
      </c>
      <c r="Q154" s="14">
        <v>1</v>
      </c>
      <c r="R154" s="13"/>
      <c r="S154" s="13" t="s">
        <v>573</v>
      </c>
      <c r="T154" s="48"/>
    </row>
    <row r="155" spans="1:20">
      <c r="A155" s="36"/>
      <c r="B155" s="20"/>
      <c r="C155" s="20"/>
      <c r="D155" s="7"/>
      <c r="E155" s="7"/>
      <c r="F155" s="7"/>
      <c r="G155" s="7"/>
      <c r="H155" s="7"/>
      <c r="I155" s="7"/>
      <c r="J155" s="7"/>
      <c r="K155" s="7"/>
      <c r="L155" s="7"/>
      <c r="M155" s="7"/>
      <c r="N155" s="2"/>
      <c r="O155" s="2"/>
      <c r="P155" s="2"/>
      <c r="Q155" s="2"/>
      <c r="R155" s="3"/>
      <c r="S155" s="3"/>
      <c r="T155" s="46"/>
    </row>
    <row r="156" spans="1:20">
      <c r="A156" s="39" t="s">
        <v>418</v>
      </c>
      <c r="B156" s="19" t="s">
        <v>574</v>
      </c>
      <c r="C156" s="19"/>
      <c r="D156" s="7"/>
      <c r="E156" s="7"/>
      <c r="F156" s="7"/>
      <c r="G156" s="7"/>
      <c r="H156" s="7"/>
      <c r="I156" s="7"/>
      <c r="J156" s="7"/>
      <c r="K156" s="7"/>
      <c r="L156" s="7"/>
      <c r="M156" s="7"/>
      <c r="N156" s="2"/>
      <c r="O156" s="2"/>
      <c r="P156" s="2"/>
      <c r="Q156" s="2"/>
      <c r="R156" s="3"/>
      <c r="S156" s="3"/>
      <c r="T156" s="46"/>
    </row>
    <row r="157" spans="1:20">
      <c r="A157" s="35"/>
      <c r="B157" s="19"/>
      <c r="C157" s="19"/>
      <c r="D157" s="7"/>
      <c r="E157" s="7"/>
      <c r="F157" s="7"/>
      <c r="G157" s="7"/>
      <c r="H157" s="7"/>
      <c r="I157" s="7"/>
      <c r="J157" s="7"/>
      <c r="K157" s="7"/>
      <c r="L157" s="7"/>
      <c r="M157" s="7"/>
      <c r="N157" s="2"/>
      <c r="O157" s="2"/>
      <c r="P157" s="2"/>
      <c r="Q157" s="2"/>
      <c r="R157" s="3"/>
      <c r="S157" s="3"/>
      <c r="T157" s="46"/>
    </row>
    <row r="158" spans="1:20">
      <c r="A158" s="35" t="s">
        <v>575</v>
      </c>
      <c r="B158" s="19"/>
      <c r="C158" s="19"/>
      <c r="D158" s="7"/>
      <c r="E158" s="7"/>
      <c r="F158" s="7"/>
      <c r="G158" s="7"/>
      <c r="H158" s="7"/>
      <c r="I158" s="7"/>
      <c r="J158" s="7"/>
      <c r="K158" s="7"/>
      <c r="L158" s="7"/>
      <c r="M158" s="7"/>
      <c r="N158" s="2"/>
      <c r="O158" s="2"/>
      <c r="P158" s="2"/>
      <c r="Q158" s="2"/>
      <c r="R158" s="3"/>
      <c r="S158" s="3"/>
      <c r="T158" s="46"/>
    </row>
    <row r="159" spans="1:20">
      <c r="A159" s="35"/>
      <c r="B159" s="19"/>
      <c r="C159" s="19"/>
      <c r="D159" s="7"/>
      <c r="E159" s="7"/>
      <c r="F159" s="7"/>
      <c r="G159" s="7"/>
      <c r="H159" s="7"/>
      <c r="I159" s="7"/>
      <c r="J159" s="7"/>
      <c r="K159" s="7"/>
      <c r="L159" s="7"/>
      <c r="M159" s="7"/>
      <c r="N159" s="2"/>
      <c r="O159" s="2"/>
      <c r="P159" s="2"/>
      <c r="Q159" s="2"/>
      <c r="R159" s="3"/>
      <c r="S159" s="3"/>
      <c r="T159" s="46"/>
    </row>
    <row r="160" spans="1:20" ht="28.5">
      <c r="A160" s="39" t="s">
        <v>373</v>
      </c>
      <c r="B160" s="19" t="s">
        <v>576</v>
      </c>
      <c r="C160" s="19"/>
      <c r="D160" s="7"/>
      <c r="E160" s="7"/>
      <c r="F160" s="7"/>
      <c r="G160" s="7"/>
      <c r="H160" s="7"/>
      <c r="I160" s="7"/>
      <c r="J160" s="7"/>
      <c r="K160" s="7"/>
      <c r="L160" s="7"/>
      <c r="M160" s="7"/>
      <c r="N160" s="2"/>
      <c r="O160" s="2"/>
      <c r="P160" s="2"/>
      <c r="Q160" s="2"/>
      <c r="R160" s="3" t="s">
        <v>577</v>
      </c>
      <c r="S160" s="3"/>
      <c r="T160" s="46"/>
    </row>
    <row r="161" spans="1:20">
      <c r="A161" s="35"/>
      <c r="B161" s="19"/>
      <c r="C161" s="19"/>
      <c r="D161" s="7"/>
      <c r="E161" s="7"/>
      <c r="F161" s="7"/>
      <c r="G161" s="7"/>
      <c r="H161" s="7"/>
      <c r="I161" s="7"/>
      <c r="J161" s="7"/>
      <c r="K161" s="7"/>
      <c r="L161" s="7"/>
      <c r="M161" s="7"/>
      <c r="N161" s="2"/>
      <c r="O161" s="2"/>
      <c r="P161" s="2"/>
      <c r="Q161" s="2"/>
      <c r="R161" s="3"/>
      <c r="S161" s="3"/>
      <c r="T161" s="46"/>
    </row>
    <row r="162" spans="1:20">
      <c r="A162" s="35" t="s">
        <v>578</v>
      </c>
      <c r="B162" s="19"/>
      <c r="C162" s="19"/>
      <c r="D162" s="7"/>
      <c r="E162" s="7"/>
      <c r="F162" s="7"/>
      <c r="G162" s="7"/>
      <c r="H162" s="7"/>
      <c r="I162" s="7"/>
      <c r="J162" s="7"/>
      <c r="K162" s="7"/>
      <c r="L162" s="7"/>
      <c r="M162" s="7"/>
      <c r="N162" s="2"/>
      <c r="O162" s="2"/>
      <c r="P162" s="2"/>
      <c r="Q162" s="2"/>
      <c r="R162" s="3"/>
      <c r="S162" s="3"/>
      <c r="T162" s="46"/>
    </row>
    <row r="163" spans="1:20">
      <c r="A163" s="35"/>
      <c r="B163" s="19"/>
      <c r="C163" s="19"/>
      <c r="D163" s="7"/>
      <c r="E163" s="7"/>
      <c r="F163" s="7"/>
      <c r="G163" s="7"/>
      <c r="H163" s="7"/>
      <c r="I163" s="7"/>
      <c r="J163" s="7"/>
      <c r="K163" s="7"/>
      <c r="L163" s="7"/>
      <c r="M163" s="7"/>
      <c r="N163" s="2"/>
      <c r="O163" s="2"/>
      <c r="P163" s="2"/>
      <c r="Q163" s="2"/>
      <c r="R163" s="3"/>
      <c r="S163" s="3"/>
      <c r="T163" s="46"/>
    </row>
    <row r="164" spans="1:20" ht="28.5">
      <c r="B164" s="19" t="s">
        <v>579</v>
      </c>
      <c r="C164" s="19"/>
      <c r="D164" s="7"/>
      <c r="E164" s="7"/>
      <c r="F164" s="7"/>
      <c r="G164" s="7"/>
      <c r="H164" s="7"/>
      <c r="I164" s="7"/>
      <c r="J164" s="7"/>
      <c r="K164" s="7"/>
      <c r="L164" s="7"/>
      <c r="M164" s="7"/>
      <c r="N164" s="2"/>
      <c r="O164" s="2"/>
      <c r="P164" s="2"/>
      <c r="Q164" s="2"/>
      <c r="R164" s="3" t="s">
        <v>580</v>
      </c>
      <c r="S164" s="3"/>
      <c r="T164" s="46"/>
    </row>
    <row r="165" spans="1:20">
      <c r="A165" s="32"/>
      <c r="B165" s="22"/>
      <c r="C165" s="22"/>
      <c r="D165" s="7"/>
      <c r="E165" s="7"/>
      <c r="F165" s="7"/>
      <c r="G165" s="7"/>
      <c r="H165" s="7"/>
      <c r="I165" s="7"/>
      <c r="J165" s="7"/>
      <c r="K165" s="7"/>
      <c r="L165" s="7"/>
      <c r="M165" s="7"/>
      <c r="N165" s="2"/>
      <c r="O165" s="2"/>
      <c r="P165" s="2"/>
      <c r="Q165" s="2"/>
      <c r="R165" s="3"/>
      <c r="S165" s="3"/>
      <c r="T165" s="46"/>
    </row>
    <row r="166" spans="1:20">
      <c r="A166" s="32" t="s">
        <v>581</v>
      </c>
      <c r="B166" s="22"/>
      <c r="C166" s="22"/>
      <c r="D166" s="2"/>
      <c r="E166" s="2"/>
      <c r="F166" s="2"/>
      <c r="G166" s="2"/>
      <c r="H166" s="2"/>
      <c r="I166" s="2"/>
      <c r="J166" s="2"/>
      <c r="K166" s="2"/>
      <c r="L166" s="2"/>
      <c r="M166" s="2"/>
      <c r="N166" s="2"/>
      <c r="O166" s="2"/>
      <c r="P166" s="2"/>
      <c r="Q166" s="2"/>
      <c r="R166" s="3"/>
      <c r="S166" s="3"/>
      <c r="T166" s="46"/>
    </row>
    <row r="167" spans="1:20">
      <c r="A167" s="32"/>
      <c r="B167" s="22"/>
      <c r="C167" s="22"/>
      <c r="D167" s="2"/>
      <c r="E167" s="2"/>
      <c r="F167" s="2"/>
      <c r="G167" s="2"/>
      <c r="H167" s="2"/>
      <c r="I167" s="2"/>
      <c r="J167" s="2"/>
      <c r="K167" s="2"/>
      <c r="L167" s="2"/>
      <c r="M167" s="2"/>
      <c r="N167" s="2"/>
      <c r="O167" s="2"/>
      <c r="P167" s="2"/>
      <c r="Q167" s="2"/>
      <c r="R167" s="3"/>
      <c r="S167" s="3"/>
      <c r="T167" s="46"/>
    </row>
    <row r="168" spans="1:20">
      <c r="A168" s="35"/>
      <c r="B168" s="19"/>
      <c r="C168" s="19"/>
      <c r="D168" s="2"/>
      <c r="E168" s="2"/>
      <c r="F168" s="2"/>
      <c r="G168" s="2"/>
      <c r="H168" s="2"/>
      <c r="I168" s="2"/>
      <c r="J168" s="2"/>
      <c r="K168" s="2"/>
      <c r="L168" s="2"/>
      <c r="M168" s="2"/>
      <c r="N168" s="2"/>
      <c r="O168" s="2"/>
      <c r="P168" s="2"/>
      <c r="Q168" s="2"/>
      <c r="R168" s="3"/>
      <c r="S168" s="3"/>
      <c r="T168" s="46"/>
    </row>
    <row r="169" spans="1:20" ht="70.5">
      <c r="A169" s="242" t="s">
        <v>48</v>
      </c>
      <c r="B169" s="19" t="s">
        <v>582</v>
      </c>
      <c r="C169" s="19" t="s">
        <v>583</v>
      </c>
      <c r="D169" s="2"/>
      <c r="E169" s="2"/>
      <c r="F169" s="2"/>
      <c r="G169" s="2"/>
      <c r="H169" s="2"/>
      <c r="I169" s="2"/>
      <c r="J169" s="2"/>
      <c r="K169" s="2"/>
      <c r="L169" s="2"/>
      <c r="M169" s="2"/>
      <c r="N169" s="2"/>
      <c r="O169" s="2" t="s">
        <v>584</v>
      </c>
      <c r="P169" s="2" t="s">
        <v>585</v>
      </c>
      <c r="Q169" s="2"/>
      <c r="R169" s="3" t="s">
        <v>586</v>
      </c>
      <c r="S169" s="3"/>
      <c r="T169" s="46"/>
    </row>
    <row r="170" spans="1:20">
      <c r="A170" s="35"/>
      <c r="B170" s="35"/>
      <c r="C170" s="19"/>
      <c r="D170" s="2"/>
      <c r="E170" s="2"/>
      <c r="F170" s="2"/>
      <c r="G170" s="2"/>
      <c r="H170" s="2"/>
      <c r="I170" s="2"/>
      <c r="J170" s="2"/>
      <c r="K170" s="2"/>
      <c r="L170" s="2"/>
      <c r="M170" s="2"/>
      <c r="N170" s="2"/>
      <c r="O170" s="2"/>
      <c r="P170" s="2"/>
      <c r="Q170" s="2"/>
      <c r="R170" s="3"/>
      <c r="S170" s="3"/>
      <c r="T170" s="46"/>
    </row>
    <row r="171" spans="1:20" ht="28.5">
      <c r="A171" s="39" t="s">
        <v>168</v>
      </c>
      <c r="B171" s="35"/>
      <c r="C171" s="19"/>
      <c r="D171" s="2"/>
      <c r="E171" s="2"/>
      <c r="F171" s="2"/>
      <c r="G171" s="2"/>
      <c r="H171" s="2"/>
      <c r="I171" s="2"/>
      <c r="J171" s="2"/>
      <c r="K171" s="2"/>
      <c r="L171" s="2"/>
      <c r="M171" s="2"/>
      <c r="N171" s="2"/>
      <c r="O171" s="2" t="s">
        <v>587</v>
      </c>
      <c r="P171" s="2"/>
      <c r="Q171" s="2"/>
      <c r="R171" s="3"/>
      <c r="S171" s="3"/>
      <c r="T171" s="46"/>
    </row>
    <row r="172" spans="1:20">
      <c r="A172" s="35"/>
      <c r="B172" s="35"/>
      <c r="C172" s="19"/>
      <c r="D172" s="2"/>
      <c r="E172" s="2"/>
      <c r="F172" s="2"/>
      <c r="G172" s="2"/>
      <c r="H172" s="2"/>
      <c r="I172" s="2"/>
      <c r="J172" s="2"/>
      <c r="K172" s="2"/>
      <c r="L172" s="2"/>
      <c r="M172" s="2"/>
      <c r="N172" s="2"/>
      <c r="O172" s="2"/>
      <c r="P172" s="2"/>
      <c r="Q172" s="2"/>
      <c r="R172" s="3"/>
      <c r="S172" s="3"/>
      <c r="T172" s="46"/>
    </row>
    <row r="173" spans="1:20">
      <c r="A173" s="39" t="s">
        <v>588</v>
      </c>
      <c r="B173" s="35" t="s">
        <v>589</v>
      </c>
      <c r="C173" s="19"/>
      <c r="D173" s="2"/>
      <c r="E173" s="2"/>
      <c r="F173" s="2"/>
      <c r="G173" s="2"/>
      <c r="H173" s="2"/>
      <c r="I173" s="2"/>
      <c r="J173" s="2"/>
      <c r="K173" s="2"/>
      <c r="L173" s="2"/>
      <c r="M173" s="2"/>
      <c r="N173" s="2"/>
      <c r="O173" s="2"/>
      <c r="P173" s="2"/>
      <c r="Q173" s="2"/>
      <c r="R173" s="3" t="s">
        <v>301</v>
      </c>
      <c r="S173" s="3" t="s">
        <v>590</v>
      </c>
      <c r="T173" s="46"/>
    </row>
    <row r="174" spans="1:20">
      <c r="A174" s="35"/>
      <c r="B174" s="35"/>
      <c r="C174" s="19"/>
      <c r="D174" s="2"/>
      <c r="E174" s="2"/>
      <c r="F174" s="2"/>
      <c r="G174" s="2"/>
      <c r="H174" s="2"/>
      <c r="I174" s="2"/>
      <c r="J174" s="2"/>
      <c r="K174" s="2"/>
      <c r="L174" s="2"/>
      <c r="M174" s="2"/>
      <c r="N174" s="2"/>
      <c r="O174" s="2"/>
      <c r="P174" s="2"/>
      <c r="Q174" s="2"/>
      <c r="R174" s="3"/>
      <c r="S174" s="3"/>
      <c r="T174" s="46"/>
    </row>
    <row r="175" spans="1:20">
      <c r="A175" s="242" t="s">
        <v>591</v>
      </c>
      <c r="B175" s="36"/>
      <c r="C175" s="20"/>
      <c r="D175" s="1"/>
      <c r="E175" s="1"/>
      <c r="F175" s="1"/>
      <c r="G175" s="1"/>
      <c r="H175" s="1"/>
      <c r="I175" s="1"/>
      <c r="J175" s="1"/>
      <c r="K175" s="1"/>
      <c r="L175" s="1"/>
      <c r="M175" s="1"/>
      <c r="N175" s="1"/>
      <c r="O175" s="1"/>
      <c r="P175" s="1"/>
      <c r="Q175" s="1"/>
      <c r="R175" s="3"/>
      <c r="S175" s="3"/>
      <c r="T175" s="46"/>
    </row>
    <row r="176" spans="1:20">
      <c r="A176" s="35"/>
      <c r="B176" s="19"/>
      <c r="C176" s="19"/>
      <c r="D176" s="2"/>
      <c r="E176" s="2"/>
      <c r="F176" s="2"/>
      <c r="G176" s="2"/>
      <c r="H176" s="2"/>
      <c r="I176" s="2"/>
      <c r="J176" s="2"/>
      <c r="K176" s="2"/>
      <c r="L176" s="2"/>
      <c r="M176" s="2"/>
      <c r="N176" s="2"/>
      <c r="O176" s="2"/>
      <c r="P176" s="2"/>
      <c r="Q176" s="2"/>
      <c r="R176" s="15"/>
      <c r="S176" s="3"/>
      <c r="T176" s="46"/>
    </row>
    <row r="177" spans="1:20">
      <c r="A177" s="39" t="s">
        <v>592</v>
      </c>
      <c r="B177" s="19"/>
      <c r="C177" s="19"/>
      <c r="D177" s="2"/>
      <c r="E177" s="2"/>
      <c r="F177" s="2"/>
      <c r="G177" s="2"/>
      <c r="H177" s="2"/>
      <c r="I177" s="2"/>
      <c r="J177" s="2"/>
      <c r="K177" s="2"/>
      <c r="L177" s="2"/>
      <c r="M177" s="2"/>
      <c r="N177" s="2"/>
      <c r="O177" s="2"/>
      <c r="P177" s="2"/>
      <c r="Q177" s="2"/>
      <c r="R177" s="15"/>
      <c r="S177" s="3"/>
      <c r="T177" s="46"/>
    </row>
    <row r="178" spans="1:20">
      <c r="A178" s="35"/>
      <c r="B178" s="19"/>
      <c r="C178" s="19"/>
      <c r="D178" s="2"/>
      <c r="E178" s="2"/>
      <c r="F178" s="2"/>
      <c r="G178" s="2"/>
      <c r="H178" s="2"/>
      <c r="I178" s="2"/>
      <c r="J178" s="2"/>
      <c r="K178" s="2"/>
      <c r="L178" s="2"/>
      <c r="M178" s="2"/>
      <c r="N178" s="2"/>
      <c r="O178" s="2"/>
      <c r="P178" s="2"/>
      <c r="Q178" s="2"/>
      <c r="R178" s="15"/>
      <c r="S178" s="3"/>
      <c r="T178" s="46"/>
    </row>
    <row r="179" spans="1:20">
      <c r="A179" s="35"/>
      <c r="B179" s="19"/>
      <c r="C179" s="19"/>
      <c r="D179" s="2"/>
      <c r="E179" s="2"/>
      <c r="F179" s="2"/>
      <c r="G179" s="2"/>
      <c r="H179" s="2"/>
      <c r="I179" s="2"/>
      <c r="J179" s="2"/>
      <c r="K179" s="2"/>
      <c r="L179" s="2"/>
      <c r="M179" s="2"/>
      <c r="N179" s="2"/>
      <c r="O179" s="2"/>
      <c r="P179" s="2"/>
      <c r="Q179" s="2"/>
      <c r="R179" s="15"/>
      <c r="S179" s="3"/>
      <c r="T179" s="46"/>
    </row>
    <row r="180" spans="1:20">
      <c r="A180" s="39" t="s">
        <v>470</v>
      </c>
      <c r="B180" s="19"/>
      <c r="C180" s="19"/>
      <c r="D180" s="2"/>
      <c r="E180" s="2"/>
      <c r="F180" s="2"/>
      <c r="G180" s="2"/>
      <c r="H180" s="2"/>
      <c r="I180" s="2"/>
      <c r="J180" s="2"/>
      <c r="K180" s="2"/>
      <c r="L180" s="2"/>
      <c r="M180" s="2"/>
      <c r="N180" s="2"/>
      <c r="O180" s="2"/>
      <c r="P180" s="2"/>
      <c r="Q180" s="2"/>
      <c r="R180" s="15"/>
      <c r="S180" s="3"/>
      <c r="T180" s="46"/>
    </row>
    <row r="181" spans="1:20">
      <c r="A181" s="35"/>
      <c r="B181" s="19"/>
      <c r="C181" s="19"/>
      <c r="D181" s="2"/>
      <c r="E181" s="2"/>
      <c r="F181" s="2"/>
      <c r="G181" s="2"/>
      <c r="H181" s="2"/>
      <c r="I181" s="2"/>
      <c r="J181" s="2"/>
      <c r="K181" s="2"/>
      <c r="L181" s="2"/>
      <c r="M181" s="2"/>
      <c r="N181" s="2"/>
      <c r="O181" s="2"/>
      <c r="P181" s="2"/>
      <c r="Q181" s="2"/>
      <c r="R181" s="15"/>
      <c r="S181" s="3"/>
      <c r="T181" s="46"/>
    </row>
    <row r="182" spans="1:20">
      <c r="A182" s="39" t="s">
        <v>471</v>
      </c>
      <c r="B182" s="19"/>
      <c r="C182" s="19"/>
      <c r="D182" s="2"/>
      <c r="E182" s="2"/>
      <c r="F182" s="2"/>
      <c r="G182" s="2"/>
      <c r="H182" s="2"/>
      <c r="I182" s="2"/>
      <c r="J182" s="2"/>
      <c r="K182" s="2"/>
      <c r="L182" s="2"/>
      <c r="M182" s="2"/>
      <c r="N182" s="2"/>
      <c r="O182" s="2"/>
      <c r="P182" s="2"/>
      <c r="Q182" s="2"/>
      <c r="R182" s="15"/>
      <c r="S182" s="3"/>
      <c r="T182" s="46"/>
    </row>
    <row r="183" spans="1:20">
      <c r="A183" s="32"/>
      <c r="B183" s="22"/>
      <c r="C183" s="22"/>
      <c r="D183" s="4"/>
      <c r="E183" s="4"/>
      <c r="F183" s="4"/>
      <c r="G183" s="4"/>
      <c r="H183" s="4"/>
      <c r="I183" s="4"/>
      <c r="J183" s="4"/>
      <c r="K183" s="4"/>
      <c r="L183" s="4"/>
      <c r="M183" s="4"/>
      <c r="N183" s="4"/>
      <c r="O183" s="4"/>
      <c r="P183" s="4"/>
      <c r="Q183" s="4"/>
      <c r="R183" s="3"/>
      <c r="S183" s="3"/>
      <c r="T183" s="46"/>
    </row>
    <row r="184" spans="1:20">
      <c r="A184" s="35"/>
      <c r="B184" s="19" t="s">
        <v>189</v>
      </c>
      <c r="C184" s="38"/>
      <c r="D184" s="2"/>
      <c r="E184" s="2"/>
      <c r="F184" s="2"/>
      <c r="G184" s="2"/>
      <c r="H184" s="2"/>
      <c r="I184" s="2"/>
      <c r="J184" s="2"/>
      <c r="K184" s="2"/>
      <c r="L184" s="2"/>
      <c r="M184" s="2"/>
      <c r="N184" s="2"/>
      <c r="O184" s="2"/>
      <c r="P184" s="2"/>
      <c r="Q184" s="2"/>
      <c r="R184" s="3"/>
      <c r="S184" s="3"/>
      <c r="T184" s="46"/>
    </row>
    <row r="185" spans="1:20">
      <c r="A185" s="242" t="s">
        <v>188</v>
      </c>
      <c r="B185" s="20" t="s">
        <v>190</v>
      </c>
      <c r="C185" s="20"/>
      <c r="D185" s="1"/>
      <c r="E185" s="1"/>
      <c r="F185" s="1"/>
      <c r="G185" s="1"/>
      <c r="H185" s="1"/>
      <c r="I185" s="1"/>
      <c r="J185" s="1"/>
      <c r="K185" s="1"/>
      <c r="L185" s="1"/>
      <c r="M185" s="1"/>
      <c r="N185" s="1"/>
      <c r="O185" s="1"/>
      <c r="P185" s="1"/>
      <c r="Q185" s="1"/>
      <c r="R185" s="11"/>
      <c r="S185" s="11"/>
      <c r="T185" s="49"/>
    </row>
    <row r="186" spans="1:20">
      <c r="A186" s="35"/>
      <c r="B186" s="19" t="s">
        <v>192</v>
      </c>
      <c r="C186" s="19"/>
      <c r="D186" s="2"/>
      <c r="E186" s="2"/>
      <c r="F186" s="2"/>
      <c r="G186" s="2"/>
      <c r="H186" s="2"/>
      <c r="I186" s="2"/>
      <c r="J186" s="2"/>
      <c r="K186" s="2"/>
      <c r="L186" s="2"/>
      <c r="M186" s="2"/>
      <c r="N186" s="2"/>
      <c r="O186" s="2"/>
      <c r="P186" s="2"/>
      <c r="Q186" s="2"/>
      <c r="R186" s="3"/>
      <c r="S186" s="3"/>
      <c r="T186" s="46"/>
    </row>
    <row r="187" spans="1:20">
      <c r="A187" s="35"/>
      <c r="B187" s="19"/>
      <c r="C187" s="19"/>
      <c r="D187" s="2"/>
      <c r="E187" s="2"/>
      <c r="F187" s="2"/>
      <c r="G187" s="2"/>
      <c r="H187" s="2"/>
      <c r="I187" s="2"/>
      <c r="J187" s="2"/>
      <c r="K187" s="2"/>
      <c r="L187" s="2"/>
      <c r="M187" s="2"/>
      <c r="N187" s="2"/>
      <c r="O187" s="2"/>
      <c r="P187" s="2"/>
      <c r="Q187" s="2"/>
      <c r="R187" s="3"/>
      <c r="S187" s="3"/>
      <c r="T187" s="46"/>
    </row>
    <row r="188" spans="1:20" s="16" customFormat="1">
      <c r="A188" s="39" t="s">
        <v>397</v>
      </c>
      <c r="B188" s="19" t="s">
        <v>398</v>
      </c>
      <c r="C188" s="19"/>
      <c r="D188" s="2"/>
      <c r="E188" s="2"/>
      <c r="F188" s="2"/>
      <c r="G188" s="2"/>
      <c r="H188" s="2"/>
      <c r="I188" s="2"/>
      <c r="J188" s="2"/>
      <c r="K188" s="2"/>
      <c r="L188" s="2"/>
      <c r="M188" s="2"/>
      <c r="N188" s="2"/>
      <c r="O188" s="2"/>
      <c r="P188" s="2"/>
      <c r="Q188" s="2"/>
      <c r="R188" s="3"/>
      <c r="S188" s="3"/>
      <c r="T188" s="46"/>
    </row>
    <row r="189" spans="1:20">
      <c r="A189" s="35"/>
      <c r="B189" s="19"/>
      <c r="C189" s="19"/>
      <c r="D189" s="2"/>
      <c r="E189" s="2"/>
      <c r="F189" s="2"/>
      <c r="G189" s="2"/>
      <c r="H189" s="2"/>
      <c r="I189" s="2"/>
      <c r="J189" s="2"/>
      <c r="K189" s="2"/>
      <c r="L189" s="2"/>
      <c r="M189" s="2"/>
      <c r="N189" s="2"/>
      <c r="O189" s="2"/>
      <c r="P189" s="2"/>
      <c r="Q189" s="2"/>
      <c r="R189" s="3"/>
      <c r="S189" s="3"/>
      <c r="T189" s="46"/>
    </row>
    <row r="190" spans="1:20">
      <c r="A190" s="39" t="s">
        <v>593</v>
      </c>
      <c r="B190" s="19" t="s">
        <v>414</v>
      </c>
      <c r="C190" s="19"/>
      <c r="D190" s="2"/>
      <c r="E190" s="2"/>
      <c r="F190" s="2"/>
      <c r="G190" s="2"/>
      <c r="H190" s="2"/>
      <c r="I190" s="2"/>
      <c r="J190" s="2"/>
      <c r="K190" s="2"/>
      <c r="L190" s="2"/>
      <c r="M190" s="2"/>
      <c r="N190" s="2"/>
      <c r="O190" s="2"/>
      <c r="P190" s="2"/>
      <c r="Q190" s="2"/>
      <c r="R190" s="3"/>
      <c r="S190" s="3"/>
      <c r="T190" s="46"/>
    </row>
    <row r="191" spans="1:20">
      <c r="A191" s="35"/>
      <c r="B191" s="19"/>
      <c r="C191" s="19"/>
      <c r="D191" s="2"/>
      <c r="E191" s="2"/>
      <c r="F191" s="2"/>
      <c r="G191" s="2"/>
      <c r="H191" s="2"/>
      <c r="I191" s="2"/>
      <c r="J191" s="2"/>
      <c r="K191" s="2"/>
      <c r="L191" s="2"/>
      <c r="M191" s="2"/>
      <c r="N191" s="2"/>
      <c r="O191" s="2"/>
      <c r="P191" s="2"/>
      <c r="Q191" s="2"/>
      <c r="R191" s="3"/>
      <c r="S191" s="3"/>
      <c r="T191" s="46"/>
    </row>
    <row r="192" spans="1:20">
      <c r="A192" s="39" t="s">
        <v>416</v>
      </c>
      <c r="B192" s="19" t="s">
        <v>417</v>
      </c>
      <c r="C192" s="19"/>
      <c r="D192" s="2"/>
      <c r="E192" s="2"/>
      <c r="F192" s="2"/>
      <c r="G192" s="2"/>
      <c r="H192" s="2"/>
      <c r="I192" s="2"/>
      <c r="J192" s="2"/>
      <c r="K192" s="2"/>
      <c r="L192" s="2"/>
      <c r="M192" s="2"/>
      <c r="N192" s="2"/>
      <c r="O192" s="2"/>
      <c r="P192" s="2"/>
      <c r="Q192" s="2"/>
      <c r="R192" s="3"/>
      <c r="S192" s="3"/>
      <c r="T192" s="46"/>
    </row>
    <row r="193" spans="1:20">
      <c r="A193" s="39"/>
      <c r="B193" s="25"/>
      <c r="C193" s="25"/>
      <c r="D193" s="6"/>
      <c r="E193" s="6"/>
      <c r="F193" s="6"/>
      <c r="G193" s="6"/>
      <c r="H193" s="6"/>
      <c r="I193" s="6"/>
      <c r="J193" s="6"/>
      <c r="K193" s="6"/>
      <c r="L193" s="6"/>
      <c r="M193" s="6"/>
      <c r="N193" s="6"/>
      <c r="O193" s="6"/>
      <c r="P193" s="6"/>
      <c r="Q193" s="6"/>
      <c r="R193" s="12"/>
      <c r="S193" s="12"/>
      <c r="T193" s="50"/>
    </row>
    <row r="194" spans="1:20">
      <c r="A194" s="35" t="s">
        <v>422</v>
      </c>
      <c r="B194" s="19"/>
      <c r="C194" s="19"/>
      <c r="D194" s="2"/>
      <c r="E194" s="2"/>
      <c r="F194" s="2"/>
      <c r="G194" s="2"/>
      <c r="H194" s="2"/>
      <c r="I194" s="2"/>
      <c r="J194" s="2"/>
      <c r="K194" s="2"/>
      <c r="L194" s="2"/>
      <c r="M194" s="2"/>
      <c r="N194" s="2"/>
      <c r="O194" s="2"/>
      <c r="P194" s="2"/>
      <c r="Q194" s="2"/>
      <c r="R194" s="3"/>
      <c r="S194" s="3"/>
      <c r="T194" s="46"/>
    </row>
    <row r="195" spans="1:20">
      <c r="A195" s="35"/>
      <c r="B195" s="19"/>
      <c r="C195" s="19"/>
      <c r="D195" s="2"/>
      <c r="E195" s="2"/>
      <c r="F195" s="2"/>
      <c r="G195" s="2"/>
      <c r="H195" s="2"/>
      <c r="I195" s="2"/>
      <c r="J195" s="2"/>
      <c r="K195" s="2"/>
      <c r="L195" s="2"/>
      <c r="M195" s="2"/>
      <c r="N195" s="2"/>
      <c r="O195" s="2"/>
      <c r="P195" s="2"/>
      <c r="Q195" s="2"/>
      <c r="R195" s="3"/>
      <c r="S195" s="3"/>
      <c r="T195" s="46"/>
    </row>
    <row r="196" spans="1:20" ht="27.95">
      <c r="A196" s="39" t="s">
        <v>423</v>
      </c>
      <c r="B196" s="19" t="s">
        <v>424</v>
      </c>
      <c r="C196" s="19"/>
      <c r="D196" s="2"/>
      <c r="E196" s="2"/>
      <c r="F196" s="2"/>
      <c r="G196" s="2"/>
      <c r="H196" s="2"/>
      <c r="I196" s="2"/>
      <c r="J196" s="2"/>
      <c r="K196" s="2"/>
      <c r="L196" s="2"/>
      <c r="M196" s="2"/>
      <c r="N196" s="2"/>
      <c r="O196" s="2"/>
      <c r="P196" s="2"/>
      <c r="Q196" s="2"/>
      <c r="R196" s="3"/>
      <c r="S196" s="3"/>
      <c r="T196" s="46"/>
    </row>
    <row r="197" spans="1:20">
      <c r="A197" s="35"/>
      <c r="B197" s="19"/>
      <c r="C197" s="19"/>
      <c r="D197" s="2"/>
      <c r="E197" s="2"/>
      <c r="F197" s="2"/>
      <c r="G197" s="2"/>
      <c r="H197" s="2"/>
      <c r="I197" s="2"/>
      <c r="J197" s="2"/>
      <c r="K197" s="2"/>
      <c r="L197" s="2"/>
      <c r="M197" s="2"/>
      <c r="N197" s="2"/>
      <c r="O197" s="2"/>
      <c r="P197" s="2"/>
      <c r="Q197" s="2"/>
      <c r="R197" s="3"/>
      <c r="S197" s="3"/>
      <c r="T197" s="46"/>
    </row>
    <row r="198" spans="1:20">
      <c r="A198" s="39" t="s">
        <v>426</v>
      </c>
      <c r="B198" s="19" t="s">
        <v>427</v>
      </c>
      <c r="C198" s="19"/>
      <c r="D198" s="2"/>
      <c r="E198" s="2"/>
      <c r="F198" s="2"/>
      <c r="G198" s="2"/>
      <c r="H198" s="2"/>
      <c r="I198" s="2"/>
      <c r="J198" s="2"/>
      <c r="K198" s="2"/>
      <c r="L198" s="2"/>
      <c r="M198" s="2"/>
      <c r="N198" s="2"/>
      <c r="O198" s="2"/>
      <c r="P198" s="2"/>
      <c r="Q198" s="2"/>
      <c r="R198" s="3"/>
      <c r="S198" s="3"/>
      <c r="T198" s="46"/>
    </row>
    <row r="199" spans="1:20">
      <c r="A199" s="35"/>
      <c r="B199" s="19"/>
      <c r="C199" s="19"/>
      <c r="D199" s="2"/>
      <c r="E199" s="2"/>
      <c r="F199" s="2"/>
      <c r="G199" s="2"/>
      <c r="H199" s="2"/>
      <c r="I199" s="2"/>
      <c r="J199" s="2"/>
      <c r="K199" s="2"/>
      <c r="L199" s="2"/>
      <c r="M199" s="2"/>
      <c r="N199" s="2"/>
      <c r="O199" s="2"/>
      <c r="P199" s="2"/>
      <c r="Q199" s="2"/>
      <c r="R199" s="3"/>
      <c r="S199" s="3"/>
      <c r="T199" s="46"/>
    </row>
    <row r="200" spans="1:20" ht="27.95">
      <c r="A200" s="39" t="s">
        <v>594</v>
      </c>
      <c r="B200" s="19" t="s">
        <v>595</v>
      </c>
      <c r="C200" s="19" t="s">
        <v>596</v>
      </c>
      <c r="D200" s="2" t="s">
        <v>597</v>
      </c>
      <c r="E200" s="2"/>
      <c r="F200" s="2"/>
      <c r="G200" s="2"/>
      <c r="H200" s="2"/>
      <c r="I200" s="2"/>
      <c r="J200" s="2"/>
      <c r="K200" s="2"/>
      <c r="L200" s="2"/>
      <c r="M200" s="2"/>
      <c r="N200" s="2"/>
      <c r="O200" s="2"/>
      <c r="P200" s="2"/>
      <c r="Q200" s="2">
        <v>1</v>
      </c>
      <c r="R200" s="3" t="s">
        <v>598</v>
      </c>
      <c r="S200" s="3"/>
      <c r="T200" s="46"/>
    </row>
    <row r="201" spans="1:20">
      <c r="A201" s="35"/>
      <c r="B201" s="19"/>
      <c r="C201" s="19"/>
      <c r="D201" s="2"/>
      <c r="E201" s="2"/>
      <c r="F201" s="2"/>
      <c r="G201" s="2"/>
      <c r="H201" s="2"/>
      <c r="I201" s="2"/>
      <c r="J201" s="2"/>
      <c r="K201" s="2"/>
      <c r="L201" s="2"/>
      <c r="M201" s="2"/>
      <c r="N201" s="2"/>
      <c r="O201" s="2"/>
      <c r="P201" s="2"/>
      <c r="Q201" s="2"/>
      <c r="R201" s="3"/>
      <c r="S201" s="3"/>
      <c r="T201" s="46"/>
    </row>
    <row r="202" spans="1:20" ht="112.5">
      <c r="A202" s="39" t="s">
        <v>599</v>
      </c>
      <c r="B202" s="19" t="s">
        <v>600</v>
      </c>
      <c r="C202" s="19"/>
      <c r="D202" s="2"/>
      <c r="E202" s="2"/>
      <c r="F202" s="2"/>
      <c r="G202" s="2"/>
      <c r="H202" s="2"/>
      <c r="I202" s="2"/>
      <c r="J202" s="2"/>
      <c r="K202" s="2"/>
      <c r="L202" s="2"/>
      <c r="M202" s="2"/>
      <c r="N202" s="2"/>
      <c r="O202" s="2"/>
      <c r="P202" s="2"/>
      <c r="Q202" s="2">
        <v>1</v>
      </c>
      <c r="R202" s="3" t="s">
        <v>239</v>
      </c>
      <c r="S202" s="3" t="s">
        <v>601</v>
      </c>
      <c r="T202" s="46"/>
    </row>
    <row r="203" spans="1:20">
      <c r="A203" s="35"/>
      <c r="B203" s="19"/>
      <c r="C203" s="19"/>
      <c r="D203" s="2"/>
      <c r="E203" s="2"/>
      <c r="F203" s="2"/>
      <c r="G203" s="2"/>
      <c r="H203" s="2"/>
      <c r="I203" s="2"/>
      <c r="J203" s="2"/>
      <c r="K203" s="2"/>
      <c r="L203" s="2"/>
      <c r="M203" s="2"/>
      <c r="N203" s="2"/>
      <c r="O203" s="2"/>
      <c r="P203" s="2"/>
      <c r="Q203" s="2"/>
      <c r="R203" s="3"/>
      <c r="S203" s="3"/>
      <c r="T203" s="46"/>
    </row>
    <row r="204" spans="1:20">
      <c r="A204" s="35"/>
      <c r="B204" s="19"/>
      <c r="C204" s="19"/>
      <c r="D204" s="2"/>
      <c r="E204" s="2"/>
      <c r="F204" s="2"/>
      <c r="G204" s="2"/>
      <c r="H204" s="2"/>
      <c r="I204" s="2"/>
      <c r="J204" s="2"/>
      <c r="K204" s="2"/>
      <c r="L204" s="2"/>
      <c r="M204" s="2"/>
      <c r="N204" s="2"/>
      <c r="O204" s="2"/>
      <c r="P204" s="2"/>
      <c r="Q204" s="2"/>
      <c r="R204" s="3"/>
      <c r="S204" s="3"/>
      <c r="T204" s="46"/>
    </row>
    <row r="205" spans="1:20">
      <c r="A205" s="39" t="s">
        <v>428</v>
      </c>
      <c r="B205" s="19" t="s">
        <v>429</v>
      </c>
      <c r="C205" s="19"/>
      <c r="D205" s="2"/>
      <c r="E205" s="2"/>
      <c r="F205" s="2"/>
      <c r="G205" s="2"/>
      <c r="H205" s="2"/>
      <c r="I205" s="2"/>
      <c r="J205" s="2"/>
      <c r="K205" s="2"/>
      <c r="L205" s="2"/>
      <c r="M205" s="2"/>
      <c r="N205" s="2"/>
      <c r="O205" s="2"/>
      <c r="P205" s="2"/>
      <c r="Q205" s="2"/>
      <c r="R205" s="3"/>
      <c r="S205" s="3"/>
      <c r="T205" s="46"/>
    </row>
    <row r="206" spans="1:20">
      <c r="A206" s="36"/>
      <c r="B206" s="20"/>
      <c r="C206" s="20"/>
      <c r="D206" s="1"/>
      <c r="E206" s="1"/>
      <c r="F206" s="1"/>
      <c r="G206" s="1"/>
      <c r="H206" s="1"/>
      <c r="I206" s="1"/>
      <c r="J206" s="1"/>
      <c r="K206" s="1"/>
      <c r="L206" s="1"/>
      <c r="M206" s="1"/>
      <c r="N206" s="1"/>
      <c r="O206" s="1"/>
      <c r="P206" s="1"/>
      <c r="Q206" s="1"/>
      <c r="R206" s="11"/>
      <c r="S206" s="11"/>
      <c r="T206" s="49"/>
    </row>
    <row r="207" spans="1:20">
      <c r="A207" s="39" t="s">
        <v>430</v>
      </c>
      <c r="B207" s="19" t="s">
        <v>431</v>
      </c>
      <c r="C207" s="19"/>
      <c r="D207" s="2"/>
      <c r="E207" s="2"/>
      <c r="F207" s="2"/>
      <c r="G207" s="2"/>
      <c r="H207" s="2"/>
      <c r="I207" s="2"/>
      <c r="J207" s="2"/>
      <c r="K207" s="2"/>
      <c r="L207" s="2"/>
      <c r="M207" s="2"/>
      <c r="N207" s="2"/>
      <c r="O207" s="2"/>
      <c r="P207" s="2"/>
      <c r="Q207" s="2"/>
      <c r="R207" s="3"/>
      <c r="S207" s="3"/>
      <c r="T207" s="46"/>
    </row>
    <row r="208" spans="1:20">
      <c r="A208" s="35"/>
      <c r="B208" s="19" t="s">
        <v>602</v>
      </c>
      <c r="C208" s="19"/>
      <c r="D208" s="2"/>
      <c r="E208" s="2"/>
      <c r="F208" s="2"/>
      <c r="G208" s="2"/>
      <c r="H208" s="2"/>
      <c r="I208" s="2"/>
      <c r="J208" s="2"/>
      <c r="K208" s="2"/>
      <c r="L208" s="2"/>
      <c r="M208" s="2"/>
      <c r="N208" s="2"/>
      <c r="O208" s="2"/>
      <c r="P208" s="2"/>
      <c r="Q208" s="2"/>
      <c r="R208" s="3"/>
      <c r="S208" s="3"/>
      <c r="T208" s="46"/>
    </row>
    <row r="209" spans="1:20">
      <c r="A209" s="35"/>
      <c r="B209" s="19" t="s">
        <v>436</v>
      </c>
      <c r="C209" s="19"/>
      <c r="D209" s="2"/>
      <c r="E209" s="2"/>
      <c r="F209" s="2"/>
      <c r="G209" s="2"/>
      <c r="H209" s="2"/>
      <c r="I209" s="2"/>
      <c r="J209" s="2"/>
      <c r="K209" s="2"/>
      <c r="L209" s="2"/>
      <c r="M209" s="2"/>
      <c r="N209" s="2"/>
      <c r="O209" s="2"/>
      <c r="P209" s="2"/>
      <c r="Q209" s="2"/>
      <c r="R209" s="3"/>
      <c r="S209" s="3"/>
      <c r="T209" s="46"/>
    </row>
    <row r="210" spans="1:20" ht="27.95">
      <c r="A210" s="39" t="s">
        <v>437</v>
      </c>
      <c r="B210" s="19" t="s">
        <v>603</v>
      </c>
      <c r="C210" s="19"/>
      <c r="D210" s="2"/>
      <c r="E210" s="2"/>
      <c r="F210" s="2"/>
      <c r="G210" s="2"/>
      <c r="H210" s="2"/>
      <c r="I210" s="2"/>
      <c r="J210" s="2"/>
      <c r="K210" s="2"/>
      <c r="L210" s="2"/>
      <c r="M210" s="2"/>
      <c r="N210" s="2"/>
      <c r="O210" s="2"/>
      <c r="P210" s="2"/>
      <c r="Q210" s="2"/>
      <c r="R210" s="3"/>
      <c r="S210" s="3"/>
      <c r="T210" s="46"/>
    </row>
    <row r="211" spans="1:20">
      <c r="A211" s="35"/>
      <c r="B211" s="19"/>
      <c r="C211" s="19"/>
      <c r="D211" s="2"/>
      <c r="E211" s="2"/>
      <c r="F211" s="2"/>
      <c r="G211" s="2"/>
      <c r="H211" s="2"/>
      <c r="I211" s="2"/>
      <c r="J211" s="2"/>
      <c r="K211" s="2"/>
      <c r="L211" s="2"/>
      <c r="M211" s="2"/>
      <c r="N211" s="2"/>
      <c r="O211" s="2"/>
      <c r="P211" s="2"/>
      <c r="Q211" s="2"/>
      <c r="R211" s="3"/>
      <c r="S211" s="3"/>
      <c r="T211" s="46"/>
    </row>
    <row r="212" spans="1:20">
      <c r="A212" s="35"/>
      <c r="B212" s="19" t="s">
        <v>604</v>
      </c>
      <c r="C212" s="19"/>
      <c r="D212" s="2"/>
      <c r="E212" s="2"/>
      <c r="F212" s="2"/>
      <c r="G212" s="2"/>
      <c r="H212" s="2"/>
      <c r="I212" s="2"/>
      <c r="J212" s="2"/>
      <c r="K212" s="2"/>
      <c r="L212" s="2"/>
      <c r="M212" s="2"/>
      <c r="N212" s="2"/>
      <c r="O212" s="2"/>
      <c r="P212" s="2"/>
      <c r="Q212" s="2"/>
      <c r="R212" s="3"/>
      <c r="S212" s="3"/>
      <c r="T212" s="46"/>
    </row>
    <row r="213" spans="1:20">
      <c r="A213" s="36"/>
      <c r="B213" s="20"/>
      <c r="C213" s="20"/>
      <c r="D213" s="1"/>
      <c r="E213" s="1"/>
      <c r="F213" s="1"/>
      <c r="G213" s="1"/>
      <c r="H213" s="1"/>
      <c r="I213" s="1"/>
      <c r="J213" s="1"/>
      <c r="K213" s="1"/>
      <c r="L213" s="1"/>
      <c r="M213" s="1"/>
      <c r="N213" s="1"/>
      <c r="O213" s="1"/>
      <c r="P213" s="1"/>
      <c r="Q213" s="1"/>
      <c r="R213" s="11"/>
      <c r="S213" s="11"/>
      <c r="T213" s="49"/>
    </row>
    <row r="214" spans="1:20">
      <c r="A214" s="39" t="s">
        <v>605</v>
      </c>
      <c r="B214" s="19" t="s">
        <v>91</v>
      </c>
      <c r="C214" s="19"/>
      <c r="D214" s="2"/>
      <c r="E214" s="2"/>
      <c r="F214" s="2"/>
      <c r="G214" s="2"/>
      <c r="H214" s="2"/>
      <c r="I214" s="2"/>
      <c r="J214" s="2"/>
      <c r="K214" s="2"/>
      <c r="L214" s="2"/>
      <c r="M214" s="2"/>
      <c r="N214" s="2"/>
      <c r="O214" s="2"/>
      <c r="P214" s="2"/>
      <c r="Q214" s="2"/>
      <c r="R214" s="3"/>
      <c r="S214" s="3"/>
      <c r="T214" s="46"/>
    </row>
    <row r="215" spans="1:20">
      <c r="A215" s="35"/>
      <c r="B215" s="19" t="s">
        <v>93</v>
      </c>
      <c r="C215" s="19"/>
      <c r="D215" s="2"/>
      <c r="E215" s="2"/>
      <c r="F215" s="2"/>
      <c r="G215" s="2"/>
      <c r="H215" s="2"/>
      <c r="I215" s="2"/>
      <c r="J215" s="2"/>
      <c r="K215" s="2"/>
      <c r="L215" s="2"/>
      <c r="M215" s="2"/>
      <c r="N215" s="2"/>
      <c r="O215" s="2"/>
      <c r="P215" s="2"/>
      <c r="Q215" s="2"/>
      <c r="R215" s="3"/>
      <c r="S215" s="3"/>
      <c r="T215" s="46"/>
    </row>
    <row r="216" spans="1:20">
      <c r="A216" s="35"/>
      <c r="B216" s="19" t="s">
        <v>94</v>
      </c>
      <c r="C216" s="19"/>
      <c r="D216" s="2"/>
      <c r="E216" s="2"/>
      <c r="F216" s="2"/>
      <c r="G216" s="2"/>
      <c r="H216" s="2"/>
      <c r="I216" s="2"/>
      <c r="J216" s="2"/>
      <c r="K216" s="2"/>
      <c r="L216" s="2"/>
      <c r="M216" s="2"/>
      <c r="N216" s="2"/>
      <c r="O216" s="2"/>
      <c r="P216" s="2"/>
      <c r="Q216" s="2"/>
      <c r="R216" s="3"/>
      <c r="S216" s="3"/>
      <c r="T216" s="46"/>
    </row>
    <row r="217" spans="1:20">
      <c r="A217" s="35"/>
      <c r="B217" s="19" t="s">
        <v>95</v>
      </c>
      <c r="C217" s="19"/>
      <c r="D217" s="2"/>
      <c r="E217" s="2"/>
      <c r="F217" s="2"/>
      <c r="G217" s="2"/>
      <c r="H217" s="2"/>
      <c r="I217" s="2"/>
      <c r="J217" s="2"/>
      <c r="K217" s="2"/>
      <c r="L217" s="2"/>
      <c r="M217" s="2"/>
      <c r="N217" s="2"/>
      <c r="O217" s="2"/>
      <c r="P217" s="2"/>
      <c r="Q217" s="2"/>
      <c r="R217" s="3"/>
      <c r="S217" s="3"/>
      <c r="T217" s="46"/>
    </row>
    <row r="218" spans="1:20">
      <c r="A218" s="36"/>
      <c r="B218" s="20"/>
      <c r="C218" s="20"/>
      <c r="D218" s="1"/>
      <c r="E218" s="1"/>
      <c r="F218" s="1"/>
      <c r="G218" s="1"/>
      <c r="H218" s="1"/>
      <c r="I218" s="1"/>
      <c r="J218" s="1"/>
      <c r="K218" s="1"/>
      <c r="L218" s="1"/>
      <c r="M218" s="1"/>
      <c r="N218" s="1"/>
      <c r="O218" s="1"/>
      <c r="P218" s="1"/>
      <c r="Q218" s="1"/>
      <c r="R218" s="11"/>
      <c r="S218" s="11"/>
      <c r="T218" s="49"/>
    </row>
    <row r="219" spans="1:20">
      <c r="A219" s="39" t="s">
        <v>606</v>
      </c>
      <c r="B219" s="26"/>
      <c r="C219" s="26"/>
      <c r="D219" s="8"/>
      <c r="E219" s="8"/>
      <c r="F219" s="8"/>
      <c r="G219" s="8"/>
      <c r="H219" s="8"/>
      <c r="I219" s="8"/>
      <c r="J219" s="8"/>
      <c r="K219" s="8"/>
      <c r="L219" s="8"/>
      <c r="M219" s="8"/>
      <c r="N219" s="8"/>
      <c r="O219" s="8"/>
      <c r="P219" s="8"/>
      <c r="Q219" s="8"/>
      <c r="R219" s="9"/>
      <c r="S219" s="9"/>
      <c r="T219" s="51"/>
    </row>
    <row r="220" spans="1:20">
      <c r="A220" s="41"/>
      <c r="B220" s="26"/>
      <c r="C220" s="26"/>
      <c r="D220" s="8"/>
      <c r="E220" s="8"/>
      <c r="F220" s="8"/>
      <c r="G220" s="8"/>
      <c r="H220" s="8"/>
      <c r="I220" s="8"/>
      <c r="J220" s="8"/>
      <c r="K220" s="8"/>
      <c r="L220" s="8"/>
      <c r="M220" s="8"/>
      <c r="N220" s="8"/>
      <c r="O220" s="8"/>
      <c r="P220" s="8"/>
      <c r="Q220" s="8"/>
      <c r="R220" s="9"/>
      <c r="S220" s="9"/>
      <c r="T220" s="51"/>
    </row>
    <row r="221" spans="1:20">
      <c r="A221" s="39" t="s">
        <v>307</v>
      </c>
      <c r="B221" s="19" t="s">
        <v>607</v>
      </c>
      <c r="C221" s="26"/>
      <c r="D221" s="8"/>
      <c r="E221" s="8"/>
      <c r="F221" s="8"/>
      <c r="G221" s="8"/>
      <c r="H221" s="8"/>
      <c r="I221" s="8"/>
      <c r="J221" s="8"/>
      <c r="K221" s="8"/>
      <c r="L221" s="8"/>
      <c r="M221" s="8"/>
      <c r="N221" s="8"/>
      <c r="O221" s="8"/>
      <c r="P221" s="8"/>
      <c r="Q221" s="8"/>
      <c r="R221" s="9"/>
      <c r="S221" s="9"/>
      <c r="T221" s="51"/>
    </row>
    <row r="222" spans="1:20">
      <c r="A222" s="35"/>
      <c r="B222" s="19" t="s">
        <v>308</v>
      </c>
      <c r="C222" s="26"/>
      <c r="D222" s="8"/>
      <c r="E222" s="8"/>
      <c r="F222" s="8"/>
      <c r="G222" s="8"/>
      <c r="H222" s="8"/>
      <c r="I222" s="8"/>
      <c r="J222" s="8"/>
      <c r="K222" s="8"/>
      <c r="L222" s="8"/>
      <c r="M222" s="8"/>
      <c r="N222" s="8"/>
      <c r="O222" s="8"/>
      <c r="P222" s="8"/>
      <c r="Q222" s="8"/>
      <c r="R222" s="9"/>
      <c r="S222" s="9"/>
      <c r="T222" s="51"/>
    </row>
    <row r="223" spans="1:20">
      <c r="A223" s="41"/>
      <c r="B223" s="26"/>
      <c r="C223" s="26"/>
      <c r="D223" s="8"/>
      <c r="E223" s="8"/>
      <c r="F223" s="8"/>
      <c r="G223" s="8"/>
      <c r="H223" s="8"/>
      <c r="I223" s="8"/>
      <c r="J223" s="8"/>
      <c r="K223" s="8"/>
      <c r="L223" s="8"/>
      <c r="M223" s="8"/>
      <c r="N223" s="8"/>
      <c r="O223" s="8"/>
      <c r="P223" s="8"/>
      <c r="Q223" s="8"/>
      <c r="R223" s="9"/>
      <c r="S223" s="9"/>
      <c r="T223" s="51"/>
    </row>
    <row r="224" spans="1:20">
      <c r="A224" s="31" t="s">
        <v>453</v>
      </c>
      <c r="B224" s="19" t="s">
        <v>454</v>
      </c>
      <c r="C224" s="26"/>
      <c r="D224" s="8"/>
      <c r="E224" s="8"/>
      <c r="F224" s="8"/>
      <c r="G224" s="8"/>
      <c r="H224" s="8"/>
      <c r="I224" s="8"/>
      <c r="J224" s="8"/>
      <c r="K224" s="8"/>
      <c r="L224" s="8"/>
      <c r="M224" s="8"/>
      <c r="N224" s="8"/>
      <c r="O224" s="8"/>
      <c r="P224" s="8"/>
      <c r="Q224" s="8"/>
      <c r="R224" s="9"/>
      <c r="S224" s="9"/>
      <c r="T224" s="51"/>
    </row>
    <row r="225" spans="1:20">
      <c r="A225" s="41"/>
      <c r="B225" s="26"/>
      <c r="C225" s="26"/>
      <c r="D225" s="8"/>
      <c r="E225" s="8"/>
      <c r="F225" s="8"/>
      <c r="G225" s="8"/>
      <c r="H225" s="8"/>
      <c r="I225" s="8"/>
      <c r="J225" s="8"/>
      <c r="K225" s="8"/>
      <c r="L225" s="8"/>
      <c r="M225" s="8"/>
      <c r="N225" s="8"/>
      <c r="O225" s="8"/>
      <c r="P225" s="8"/>
      <c r="Q225" s="8"/>
      <c r="R225" s="9"/>
      <c r="S225" s="9"/>
      <c r="T225" s="51"/>
    </row>
    <row r="226" spans="1:20" ht="27.95">
      <c r="A226" s="31" t="s">
        <v>463</v>
      </c>
      <c r="B226" s="19" t="s">
        <v>608</v>
      </c>
      <c r="C226" s="26"/>
      <c r="D226" s="8"/>
      <c r="E226" s="8"/>
      <c r="F226" s="8"/>
      <c r="G226" s="8"/>
      <c r="H226" s="8"/>
      <c r="I226" s="8"/>
      <c r="J226" s="8"/>
      <c r="K226" s="8"/>
      <c r="L226" s="8"/>
      <c r="M226" s="8"/>
      <c r="N226" s="8"/>
      <c r="O226" s="8"/>
      <c r="P226" s="8"/>
      <c r="Q226" s="8"/>
      <c r="R226" s="9"/>
      <c r="S226" s="9"/>
      <c r="T226" s="51"/>
    </row>
    <row r="227" spans="1:20">
      <c r="A227" s="41"/>
      <c r="B227" s="26"/>
      <c r="C227" s="26"/>
      <c r="D227" s="8"/>
      <c r="E227" s="8"/>
      <c r="F227" s="8"/>
      <c r="G227" s="8"/>
      <c r="H227" s="8"/>
      <c r="I227" s="8"/>
      <c r="J227" s="8"/>
      <c r="K227" s="8"/>
      <c r="L227" s="8"/>
      <c r="M227" s="8"/>
      <c r="N227" s="8"/>
      <c r="O227" s="8"/>
      <c r="P227" s="8"/>
      <c r="Q227" s="8"/>
      <c r="R227" s="9"/>
      <c r="S227" s="9"/>
      <c r="T227" s="51"/>
    </row>
    <row r="228" spans="1:20">
      <c r="A228" s="31" t="s">
        <v>609</v>
      </c>
      <c r="B228" s="26"/>
      <c r="C228" s="26"/>
      <c r="D228" s="8"/>
      <c r="E228" s="8"/>
      <c r="F228" s="8"/>
      <c r="G228" s="8"/>
      <c r="H228" s="8"/>
      <c r="I228" s="8"/>
      <c r="J228" s="8"/>
      <c r="K228" s="8"/>
      <c r="L228" s="8"/>
      <c r="M228" s="8"/>
      <c r="N228" s="8"/>
      <c r="O228" s="8"/>
      <c r="P228" s="8"/>
      <c r="Q228" s="8"/>
      <c r="R228" s="9"/>
      <c r="S228" s="9"/>
      <c r="T228" s="51"/>
    </row>
    <row r="229" spans="1:20">
      <c r="A229" s="41"/>
      <c r="B229" s="26"/>
      <c r="C229" s="26"/>
      <c r="D229" s="8"/>
      <c r="E229" s="8"/>
      <c r="F229" s="8"/>
      <c r="G229" s="8"/>
      <c r="H229" s="8"/>
      <c r="I229" s="8"/>
      <c r="J229" s="8"/>
      <c r="K229" s="8"/>
      <c r="L229" s="8"/>
      <c r="M229" s="8"/>
      <c r="N229" s="8"/>
      <c r="O229" s="8"/>
      <c r="P229" s="8"/>
      <c r="Q229" s="8"/>
      <c r="R229" s="9"/>
      <c r="S229" s="9"/>
      <c r="T229" s="51"/>
    </row>
    <row r="230" spans="1:20">
      <c r="A230" s="31" t="s">
        <v>459</v>
      </c>
      <c r="B230" s="19" t="s">
        <v>610</v>
      </c>
      <c r="C230" s="26"/>
      <c r="D230" s="8"/>
      <c r="E230" s="8"/>
      <c r="F230" s="8"/>
      <c r="G230" s="8"/>
      <c r="H230" s="8"/>
      <c r="I230" s="8"/>
      <c r="J230" s="8"/>
      <c r="K230" s="8"/>
      <c r="L230" s="8"/>
      <c r="M230" s="8"/>
      <c r="N230" s="8"/>
      <c r="O230" s="8"/>
      <c r="P230" s="8"/>
      <c r="Q230" s="8"/>
      <c r="R230" s="9"/>
      <c r="S230" s="9"/>
      <c r="T230" s="51"/>
    </row>
    <row r="231" spans="1:20">
      <c r="A231" s="41"/>
      <c r="B231" s="26"/>
      <c r="C231" s="26"/>
      <c r="D231" s="8"/>
      <c r="E231" s="8"/>
      <c r="F231" s="8"/>
      <c r="G231" s="8"/>
      <c r="H231" s="8"/>
      <c r="I231" s="8"/>
      <c r="J231" s="8"/>
      <c r="K231" s="8"/>
      <c r="L231" s="8"/>
      <c r="M231" s="8"/>
      <c r="N231" s="8"/>
      <c r="O231" s="8"/>
      <c r="P231" s="8"/>
      <c r="Q231" s="8"/>
      <c r="R231" s="9"/>
      <c r="S231" s="9"/>
      <c r="T231" s="51"/>
    </row>
    <row r="232" spans="1:20" ht="27.95">
      <c r="A232" s="42" t="s">
        <v>456</v>
      </c>
      <c r="B232" s="26" t="s">
        <v>457</v>
      </c>
      <c r="C232" s="26"/>
      <c r="D232" s="8"/>
      <c r="E232" s="8"/>
      <c r="F232" s="8"/>
      <c r="G232" s="8"/>
      <c r="H232" s="8"/>
      <c r="I232" s="8"/>
      <c r="J232" s="8"/>
      <c r="K232" s="8"/>
      <c r="L232" s="8"/>
      <c r="M232" s="8"/>
      <c r="N232" s="8"/>
      <c r="O232" s="8"/>
      <c r="P232" s="8"/>
      <c r="Q232" s="8"/>
      <c r="R232" s="9"/>
      <c r="S232" s="9"/>
      <c r="T232" s="51"/>
    </row>
    <row r="233" spans="1:20">
      <c r="A233" s="43"/>
      <c r="B233" s="27"/>
      <c r="C233" s="27"/>
      <c r="D233" s="17"/>
      <c r="E233" s="17"/>
      <c r="F233" s="17"/>
      <c r="G233" s="17"/>
      <c r="H233" s="17"/>
      <c r="I233" s="17"/>
      <c r="J233" s="17"/>
      <c r="K233" s="17"/>
      <c r="L233" s="17"/>
      <c r="M233" s="17"/>
      <c r="N233" s="17"/>
      <c r="O233" s="17"/>
      <c r="P233" s="17"/>
      <c r="Q233" s="17"/>
      <c r="R233" s="18"/>
      <c r="S233" s="18"/>
      <c r="T233" s="52"/>
    </row>
    <row r="235" spans="1:20">
      <c r="A235" s="41"/>
      <c r="B235" s="28"/>
      <c r="C235" s="28"/>
      <c r="D235" s="9"/>
      <c r="E235" s="9"/>
      <c r="F235" s="9"/>
      <c r="G235" s="9"/>
      <c r="H235" s="9"/>
      <c r="I235" s="9"/>
      <c r="J235" s="9"/>
      <c r="K235" s="9"/>
      <c r="L235" s="9"/>
      <c r="M235" s="9"/>
      <c r="N235" s="9"/>
      <c r="O235" s="9"/>
      <c r="P235" s="9"/>
      <c r="Q235" s="9"/>
      <c r="R235" s="9"/>
      <c r="S235" s="9"/>
      <c r="T235" s="51"/>
    </row>
    <row r="236" spans="1:20" ht="29.1">
      <c r="A236" s="41" t="s">
        <v>611</v>
      </c>
      <c r="B236" s="28" t="s">
        <v>612</v>
      </c>
      <c r="C236" s="28"/>
      <c r="D236" s="9"/>
      <c r="E236" s="9"/>
      <c r="F236" s="9"/>
      <c r="G236" s="9"/>
      <c r="H236" s="9"/>
      <c r="I236" s="9"/>
      <c r="J236" s="9"/>
      <c r="K236" s="9"/>
      <c r="L236" s="9"/>
      <c r="M236" s="9"/>
      <c r="N236" s="9"/>
      <c r="O236" s="9"/>
      <c r="P236" s="9"/>
      <c r="Q236" s="9"/>
      <c r="R236" s="9" t="s">
        <v>613</v>
      </c>
      <c r="S236" s="9"/>
      <c r="T236" s="51"/>
    </row>
    <row r="238" spans="1:20" ht="29.1">
      <c r="A238" s="33" t="s">
        <v>614</v>
      </c>
      <c r="B238" s="29" t="s">
        <v>615</v>
      </c>
      <c r="O238" s="10" t="s">
        <v>616</v>
      </c>
      <c r="R238" s="10" t="s">
        <v>617</v>
      </c>
      <c r="S238" s="10" t="s">
        <v>618</v>
      </c>
    </row>
    <row r="240" spans="1:20">
      <c r="A240" s="33" t="s">
        <v>158</v>
      </c>
      <c r="B240" s="29" t="s">
        <v>159</v>
      </c>
    </row>
  </sheetData>
  <autoFilter ref="A1:T12" xr:uid="{00000000-0001-0000-0000-000000000000}"/>
  <mergeCells count="26">
    <mergeCell ref="A77:A87"/>
    <mergeCell ref="A17:A21"/>
    <mergeCell ref="A53:A54"/>
    <mergeCell ref="A45:A47"/>
    <mergeCell ref="A29:A44"/>
    <mergeCell ref="A131:A133"/>
    <mergeCell ref="R18:R21"/>
    <mergeCell ref="C45:C46"/>
    <mergeCell ref="D45:D46"/>
    <mergeCell ref="F45:F46"/>
    <mergeCell ref="C60:C61"/>
    <mergeCell ref="D60:D61"/>
    <mergeCell ref="A89:A90"/>
    <mergeCell ref="A22:A28"/>
    <mergeCell ref="A56:A58"/>
    <mergeCell ref="A60:A61"/>
    <mergeCell ref="F22:F28"/>
    <mergeCell ref="A49:A50"/>
    <mergeCell ref="C72:C75"/>
    <mergeCell ref="B95:B96"/>
    <mergeCell ref="G95:G96"/>
    <mergeCell ref="B23:B26"/>
    <mergeCell ref="J34:J36"/>
    <mergeCell ref="J88:J90"/>
    <mergeCell ref="B73:B74"/>
    <mergeCell ref="J73:J7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52D50-C8D3-4326-AD3E-B258CFEB7BD9}">
  <dimension ref="A1:E14"/>
  <sheetViews>
    <sheetView topLeftCell="A6" workbookViewId="0">
      <selection activeCell="E8" sqref="E8"/>
    </sheetView>
  </sheetViews>
  <sheetFormatPr defaultRowHeight="14.45"/>
  <cols>
    <col min="1" max="1" width="14" customWidth="1"/>
    <col min="2" max="2" width="16.85546875" customWidth="1"/>
    <col min="3" max="3" width="28.85546875" customWidth="1"/>
    <col min="4" max="4" width="16.140625" customWidth="1"/>
    <col min="5" max="5" width="26.28515625" customWidth="1"/>
  </cols>
  <sheetData>
    <row r="1" spans="1:5">
      <c r="D1" t="s">
        <v>619</v>
      </c>
      <c r="E1" t="s">
        <v>620</v>
      </c>
    </row>
    <row r="2" spans="1:5" ht="29.1">
      <c r="A2" s="199" t="s">
        <v>621</v>
      </c>
      <c r="B2" s="200" t="s">
        <v>622</v>
      </c>
      <c r="C2" s="199" t="s">
        <v>623</v>
      </c>
      <c r="D2" s="200" t="s">
        <v>322</v>
      </c>
      <c r="E2" s="199" t="s">
        <v>624</v>
      </c>
    </row>
    <row r="3" spans="1:5" ht="75" customHeight="1">
      <c r="A3" s="200" t="s">
        <v>625</v>
      </c>
      <c r="B3" s="500" t="s">
        <v>171</v>
      </c>
      <c r="C3" s="199" t="s">
        <v>626</v>
      </c>
      <c r="D3" s="356"/>
      <c r="E3" s="356" t="s">
        <v>627</v>
      </c>
    </row>
    <row r="4" spans="1:5" ht="93" customHeight="1">
      <c r="A4" s="203" t="s">
        <v>628</v>
      </c>
      <c r="B4" s="501"/>
      <c r="C4" s="203" t="s">
        <v>629</v>
      </c>
      <c r="D4" s="204"/>
      <c r="E4" s="204" t="s">
        <v>630</v>
      </c>
    </row>
    <row r="5" spans="1:5" ht="50.25" customHeight="1">
      <c r="A5" s="200" t="s">
        <v>631</v>
      </c>
      <c r="B5" s="200" t="s">
        <v>319</v>
      </c>
      <c r="C5" s="201" t="s">
        <v>632</v>
      </c>
      <c r="D5" s="199" t="s">
        <v>633</v>
      </c>
      <c r="E5" s="200" t="s">
        <v>634</v>
      </c>
    </row>
    <row r="6" spans="1:5" ht="91.5" customHeight="1">
      <c r="A6" s="202" t="s">
        <v>169</v>
      </c>
      <c r="B6" s="202" t="s">
        <v>168</v>
      </c>
      <c r="C6" s="203" t="s">
        <v>635</v>
      </c>
      <c r="D6" s="202"/>
      <c r="E6" s="202" t="s">
        <v>636</v>
      </c>
    </row>
    <row r="7" spans="1:5" ht="130.5">
      <c r="A7" s="357" t="s">
        <v>637</v>
      </c>
      <c r="B7" s="358" t="s">
        <v>340</v>
      </c>
      <c r="C7" s="359" t="s">
        <v>342</v>
      </c>
      <c r="D7" s="360" t="s">
        <v>638</v>
      </c>
      <c r="E7" s="358" t="s">
        <v>639</v>
      </c>
    </row>
    <row r="8" spans="1:5" ht="111.95">
      <c r="A8" s="200" t="s">
        <v>640</v>
      </c>
      <c r="B8" s="200" t="s">
        <v>176</v>
      </c>
      <c r="C8" s="402" t="s">
        <v>641</v>
      </c>
      <c r="D8" s="200"/>
      <c r="E8" s="200" t="s">
        <v>642</v>
      </c>
    </row>
    <row r="11" spans="1:5">
      <c r="C11" s="138" t="s">
        <v>643</v>
      </c>
      <c r="D11" s="138" t="s">
        <v>644</v>
      </c>
    </row>
    <row r="12" spans="1:5" ht="93" customHeight="1">
      <c r="C12" s="152" t="s">
        <v>645</v>
      </c>
      <c r="D12" s="151" t="s">
        <v>176</v>
      </c>
    </row>
    <row r="13" spans="1:5" ht="16.5" customHeight="1">
      <c r="C13" s="138" t="s">
        <v>646</v>
      </c>
      <c r="D13" s="138" t="s">
        <v>168</v>
      </c>
    </row>
    <row r="14" spans="1:5" ht="72.599999999999994" customHeight="1">
      <c r="C14" s="152" t="s">
        <v>647</v>
      </c>
      <c r="D14" s="138" t="s">
        <v>171</v>
      </c>
    </row>
  </sheetData>
  <mergeCells count="1">
    <mergeCell ref="B3:B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978B9DEF285B488171CBA59F9C7C28" ma:contentTypeVersion="7" ma:contentTypeDescription="Create a new document." ma:contentTypeScope="" ma:versionID="0f41ec23e1416ed5aecfed2470def7d1">
  <xsd:schema xmlns:xsd="http://www.w3.org/2001/XMLSchema" xmlns:xs="http://www.w3.org/2001/XMLSchema" xmlns:p="http://schemas.microsoft.com/office/2006/metadata/properties" xmlns:ns2="d4042440-b3e1-4290-8264-1328221228a2" targetNamespace="http://schemas.microsoft.com/office/2006/metadata/properties" ma:root="true" ma:fieldsID="2047f95a354361c01976473a14771d2e" ns2:_="">
    <xsd:import namespace="d4042440-b3e1-4290-8264-1328221228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042440-b3e1-4290-8264-1328221228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4CCABD-2904-41B7-B203-31B179E734D0}"/>
</file>

<file path=customXml/itemProps2.xml><?xml version="1.0" encoding="utf-8"?>
<ds:datastoreItem xmlns:ds="http://schemas.openxmlformats.org/officeDocument/2006/customXml" ds:itemID="{0697F602-0637-4B02-BA8E-0B27C6D8B57C}"/>
</file>

<file path=customXml/itemProps3.xml><?xml version="1.0" encoding="utf-8"?>
<ds:datastoreItem xmlns:ds="http://schemas.openxmlformats.org/officeDocument/2006/customXml" ds:itemID="{6509B526-2CB5-4E81-B2B2-A73E1BEEE3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2026-06-22T05:16:01Z</dcterms:created>
  <dcterms:modified xsi:type="dcterms:W3CDTF">2026-07-21T06:12:47Z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0x01010007978B9DEF285B488171CBA59F9C7C28</vt:lpwstr>
  </property>
</Properties>
</file>